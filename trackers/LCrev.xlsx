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trlProps/ctrlProps2.xml" ContentType="application/vnd.ms-excel.controlpropertie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ASheets" sheetId="1" state="visible" r:id="rId3"/>
    <sheet name="DSACombinedSheet" sheetId="2" state="visible" r:id="rId4"/>
    <sheet name="C++ &amp; STL" sheetId="3" state="visible" r:id="rId5"/>
    <sheet name="Design Patterns" sheetId="4" state="visible" r:id="rId6"/>
    <sheet name="Linux System" sheetId="5" state="visible" r:id="rId7"/>
    <sheet name="Sheet9" sheetId="6" state="visible" r:id="rId8"/>
    <sheet name="DSA_Patterns" sheetId="7" state="visible" r:id="rId9"/>
    <sheet name="DSA_REV" sheetId="8" state="visible" r:id="rId10"/>
    <sheet name="CPP_REV" sheetId="9" state="visible" r:id="rId11"/>
    <sheet name="StriversMissing" sheetId="10" state="visible" r:id="rId12"/>
    <sheet name="Basics" sheetId="11" state="visible" r:id="rId13"/>
    <sheet name="ReviewLater" sheetId="12" state="visible" r:id="rId14"/>
    <sheet name="Sheet13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<sst xmlns="http://schemas.openxmlformats.org/spreadsheetml/2006/main" count="1544" uniqueCount="966">
  <si>
    <t xml:space="preserve">DSA-Notes</t>
  </si>
  <si>
    <t xml:space="preserve">S.No</t>
  </si>
  <si>
    <t xml:space="preserve">Problem Link</t>
  </si>
  <si>
    <t xml:space="preserve">Difficulty</t>
  </si>
  <si>
    <t xml:space="preserve">Date</t>
  </si>
  <si>
    <t xml:space="preserve">🧠 Pattern Used</t>
  </si>
  <si>
    <t xml:space="preserve">💡 Recall Tip</t>
  </si>
  <si>
    <t xml:space="preserve">Revisit? 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</si>
  <si>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</si>
  <si>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</si>
  <si>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</si>
  <si>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</si>
  <si>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</si>
  <si>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2SUM</t>
  </si>
  <si>
    <t xml:space="preserve">Easy</t>
  </si>
  <si>
    <t xml:space="preserve">Hash map for complement lookup</t>
  </si>
  <si>
    <t xml:space="preserve">“Need a pair that adds to target?” → Map val → idx</t>
  </si>
  <si>
    <t xml:space="preserve">No</t>
  </si>
  <si>
    <t xml:space="preserve">contains-duplicate</t>
  </si>
  <si>
    <t xml:space="preserve">Set for membership check</t>
  </si>
  <si>
    <t xml:space="preserve">“Seen this before?” → Use Set</t>
  </si>
  <si>
    <t xml:space="preserve">contains-duplicate-ii</t>
  </si>
  <si>
    <t xml:space="preserve">Sliding window + Set</t>
  </si>
  <si>
    <t xml:space="preserve">“Duplicate within k distance?” → Shrinkable window of size k</t>
  </si>
  <si>
    <t xml:space="preserve">Yes</t>
  </si>
  <si>
    <t xml:space="preserve">valid-anagram</t>
  </si>
  <si>
    <t xml:space="preserve">Sort, Hashmp, CountArray</t>
  </si>
  <si>
    <t xml:space="preserve">For lowercase only: 26-size array is fastest; Unicode? Use hashmap</t>
  </si>
  <si>
    <t xml:space="preserve">347. Top K Frequent Elements</t>
  </si>
  <si>
    <t xml:space="preserve">Medium</t>
  </si>
  <si>
    <t xml:space="preserve">Hashmap+Multimap, Hashmap+heap, Hashmap+bucketSort</t>
  </si>
  <si>
    <t xml:space="preserve">🔁 Quick Recall: Top K Frequent Elements
Min Heap + Freq Map → Push into size-k min heap, pop least frequent → O(N log K)
Bucket Sort + Freq Map → Put nums in bucket[freq], traverse high to low → O(N)
Sort by Freq → Count freq, sort entries by value, pick top-k → O(N log N)
</t>
  </si>
  <si>
    <t xml:space="preserve">Group Anagrams</t>
  </si>
  <si>
    <t xml:space="preserve">HashMap: key = sorted string or char frequency vector → value = grouped strings</t>
  </si>
  <si>
    <t xml:space="preserve">Group words where letter composition is same → Normalize via sort or count → Store in map</t>
  </si>
  <si>
    <t xml:space="preserve">product-of-array-except-self</t>
  </si>
  <si>
    <t xml:space="preserve">Prefix,Suffix products</t>
  </si>
  <si>
    <t xml:space="preserve">Prefix into `res`, suffix as scalar → multiply and move.</t>
  </si>
  <si>
    <t xml:space="preserve">Problem </t>
  </si>
  <si>
    <t xml:space="preserve">Topic</t>
  </si>
  <si>
    <t xml:space="preserve">two-sum</t>
  </si>
  <si>
    <t xml:space="preserve">Array,HashMap</t>
  </si>
  <si>
    <t xml:space="preserve">Array, HashSet</t>
  </si>
  <si>
    <t xml:space="preserve">Array,HashMap/Sliding window</t>
  </si>
  <si>
    <t xml:space="preserve">Hashmap, BucketSort, MinHeap</t>
  </si>
  <si>
    <t xml:space="preserve">Hashmap</t>
  </si>
  <si>
    <t xml:space="preserve">Week</t>
  </si>
  <si>
    <t xml:space="preserve">Day</t>
  </si>
  <si>
    <t xml:space="preserve">Key Concepts</t>
  </si>
  <si>
    <t xml:space="preserve">Deliverables / Quiz / Notes</t>
  </si>
  <si>
    <t xml:space="preserve">Week 1🔰 Core Language</t>
  </si>
  <si>
    <t xml:space="preserve">Memory &amp; Primitives</t>
  </si>
  <si>
    <t xml:space="preserve">Data types, stack vs heap, pointers, references, const, static</t>
  </si>
  <si>
    <t xml:space="preserve">Quiz: const correctness, ref vs pointer</t>
  </si>
  <si>
    <t xml:space="preserve">Compilation model</t>
  </si>
  <si>
    <t xml:space="preserve">header/source, inline, extern, macro vs inline</t>
  </si>
  <si>
    <t xml:space="preserve">Diagram: translation unit, symbol table</t>
  </si>
  <si>
    <t xml:space="preserve">Functions &amp; Templates (Basic)</t>
  </si>
  <si>
    <t xml:space="preserve">Overloading, default args, template basics, SFINAE hint</t>
  </si>
  <si>
    <t xml:space="preserve">Code: simple max&lt;T&gt;() with template</t>
  </si>
  <si>
    <t xml:space="preserve">Classes &amp; RAII</t>
  </si>
  <si>
    <t xml:space="preserve">Constructors, destructors, member init list, RAII</t>
  </si>
  <si>
    <t xml:space="preserve">Code: class with raw pointer + RAII fix</t>
  </si>
  <si>
    <t xml:space="preserve">Inheritance &amp; Virtual</t>
  </si>
  <si>
    <t xml:space="preserve">IS-A, slicing, vtable, virtual destructor</t>
  </si>
  <si>
    <t xml:space="preserve">Quiz: output-based, slicing traps</t>
  </si>
  <si>
    <t xml:space="preserve">Polymorphism</t>
  </si>
  <si>
    <t xml:space="preserve">Pure virtual, abstract class, dynamic dispatch</t>
  </si>
  <si>
    <t xml:space="preserve">Code: base/interface + derived behavior</t>
  </si>
  <si>
    <t xml:space="preserve">Copy/Move Semantics</t>
  </si>
  <si>
    <t xml:space="preserve">Rule of 3/5/0, copy elision, explicit, mutable</t>
  </si>
  <si>
    <t xml:space="preserve">Code: deep copy + move-enabled class</t>
  </si>
  <si>
    <t xml:space="preserve">Week 2🚀 Modern C++</t>
  </si>
  <si>
    <t xml:space="preserve">Smart Pointers</t>
  </si>
  <si>
    <t xml:space="preserve">unique_ptr, shared_ptr, weak_ptr, pitfalls</t>
  </si>
  <si>
    <t xml:space="preserve">Code: manage resource + use unique_ptr</t>
  </si>
  <si>
    <t xml:space="preserve">Lambdas</t>
  </si>
  <si>
    <t xml:space="preserve">Captures, mutable, returning lambdas</t>
  </si>
  <si>
    <t xml:space="preserve">Code: filter, map using lambdas</t>
  </si>
  <si>
    <t xml:space="preserve">Move Semantics</t>
  </si>
  <si>
    <t xml:space="preserve">std::move, std::forward, rvalue refs</t>
  </si>
  <si>
    <t xml:space="preserve">Quiz: move vs copy behavior</t>
  </si>
  <si>
    <t xml:space="preserve">STL Basics</t>
  </si>
  <si>
    <t xml:space="preserve">std::pair, tuple, optional, variant</t>
  </si>
  <si>
    <t xml:space="preserve">Code: variant-based state machine</t>
  </si>
  <si>
    <t xml:space="preserve">Type Traits + Concepts</t>
  </si>
  <si>
    <t xml:space="preserve">is_same, enable_if, decltype, constexpr</t>
  </si>
  <si>
    <t xml:space="preserve">Quiz: trait-based dispatch</t>
  </si>
  <si>
    <t xml:space="preserve">C++17–20 Goodies</t>
  </si>
  <si>
    <t xml:space="preserve">if constexpr, structured binding, ranges (intro)</t>
  </si>
  <si>
    <t xml:space="preserve">Code: structured bindings + views</t>
  </si>
  <si>
    <t xml:space="preserve">Review + Quiz</t>
  </si>
  <si>
    <t xml:space="preserve">Full recap + problem solving</t>
  </si>
  <si>
    <t xml:space="preserve">Quiz + mini project (CLI parser, etc.)</t>
  </si>
  <si>
    <t xml:space="preserve">Week 3🧠 STL Containers Internals</t>
  </si>
  <si>
    <t xml:space="preserve">Vector</t>
  </si>
  <si>
    <t xml:space="preserve">Capacity, reserve, push_back vs emplace, iterator invalidation</t>
  </si>
  <si>
    <t xml:space="preserve">Code: dynamic array impl, reserve() trap</t>
  </si>
  <si>
    <t xml:space="preserve">List + Deque</t>
  </si>
  <si>
    <t xml:space="preserve">Cache locality, pointer chasing, when to use</t>
  </si>
  <si>
    <t xml:space="preserve">Code: insertion performance compare</t>
  </si>
  <si>
    <t xml:space="preserve">Set/Map</t>
  </si>
  <si>
    <t xml:space="preserve">Ordered containers, RB trees, custom comparator</t>
  </si>
  <si>
    <t xml:space="preserve">Code: set with custom comp, quiz</t>
  </si>
  <si>
    <t xml:space="preserve">Unordered Map/Set</t>
  </si>
  <si>
    <t xml:space="preserve">Hashing, load factor, collisions, bucket</t>
  </si>
  <si>
    <t xml:space="preserve">Code: write own hasher, analyze load factor</t>
  </si>
  <si>
    <t xml:space="preserve">Iterators + Ranges</t>
  </si>
  <si>
    <t xml:space="preserve">Types, invalidation, custom iterators</t>
  </si>
  <si>
    <t xml:space="preserve">Code: reverse iterator, quiz on invalidation</t>
  </si>
  <si>
    <t xml:space="preserve">Algorithms 101</t>
  </si>
  <si>
    <t xml:space="preserve">sort, binary_search, accumulate, pitfalls</t>
  </si>
  <si>
    <t xml:space="preserve">Quiz: sorting traps, nth_element trick</t>
  </si>
  <si>
    <t xml:space="preserve">STL Deep Dive Review</t>
  </si>
  <si>
    <t xml:space="preserve">Time/space tradeoffs, real-world usage patterns</t>
  </si>
  <si>
    <t xml:space="preserve">Compare containers for real-world use case</t>
  </si>
  <si>
    <t xml:space="preserve">Week 4⚙️ Systems Focus </t>
  </si>
  <si>
    <t xml:space="preserve">Low-level Memory</t>
  </si>
  <si>
    <t xml:space="preserve">new/delete, malloc/free, placement new</t>
  </si>
  <si>
    <t xml:space="preserve">Code: simulate allocator</t>
  </si>
  <si>
    <t xml:space="preserve">Exception Safety</t>
  </si>
  <si>
    <t xml:space="preserve">RAII, strong/basic/no-throw guarantee</t>
  </si>
  <si>
    <t xml:space="preserve">Code: noexcept-safe class</t>
  </si>
  <si>
    <t xml:space="preserve">Performance Tuning</t>
  </si>
  <si>
    <t xml:space="preserve">Move vs copy cost, cache, layout</t>
  </si>
  <si>
    <t xml:space="preserve">Quiz: perf-sensitive STL usage</t>
  </si>
  <si>
    <t xml:space="preserve">Real-time Coding</t>
  </si>
  <si>
    <t xml:space="preserve">STL + object lifetime + perf in real-time system</t>
  </si>
  <si>
    <t xml:space="preserve">Code review: sensor data buffer class</t>
  </si>
  <si>
    <t xml:space="preserve">Debugging &amp; Tools</t>
  </si>
  <si>
    <t xml:space="preserve">gdb, valgrind, sanitizer, objdump basics</t>
  </si>
  <si>
    <t xml:space="preserve">Lab: debug a crash, detect leak</t>
  </si>
  <si>
    <t xml:space="preserve">Custom STL Project</t>
  </si>
  <si>
    <t xml:space="preserve">Implement minimal Vector / HashMap</t>
  </si>
  <si>
    <t xml:space="preserve">Code: full impl, test with main()</t>
  </si>
  <si>
    <t xml:space="preserve">Mini-mocks</t>
  </si>
  <si>
    <t xml:space="preserve">Daily C++ micro-interview questions</t>
  </si>
  <si>
    <t xml:space="preserve">2–3 short mocks: language, STL, RAII</t>
  </si>
  <si>
    <t xml:space="preserve">Wrap-up Review</t>
  </si>
  <si>
    <t xml:space="preserve">Retrospective, blind spots, review trackers</t>
  </si>
  <si>
    <t xml:space="preserve">Identify weak areas</t>
  </si>
  <si>
    <t xml:space="preserve">Mock Me on C++</t>
  </si>
  <si>
    <t xml:space="preserve">Full mock: C++ + STL + perf + reasoning</t>
  </si>
  <si>
    <t xml:space="preserve">Interview-mode + feedback</t>
  </si>
  <si>
    <t xml:space="preserve">🗓️ 3-Week Plan Overview (90 mins/day – 2 sessions)</t>
  </si>
  <si>
    <t xml:space="preserve">Focus</t>
  </si>
  <si>
    <t xml:space="preserve">Day 1</t>
  </si>
  <si>
    <t xml:space="preserve">SOLID Part 1</t>
  </si>
  <si>
    <t xml:space="preserve">SRP, OCP, LSP – Code examples, misuse, embedded/product examples</t>
  </si>
  <si>
    <t xml:space="preserve">Day 2</t>
  </si>
  <si>
    <t xml:space="preserve">SOLID Part 2</t>
  </si>
  <si>
    <t xml:space="preserve">ISP, DIP – Interface bloat, DI with smart pointers, testability</t>
  </si>
  <si>
    <t xml:space="preserve">Day 3</t>
  </si>
  <si>
    <t xml:space="preserve">SOLID Deep Dive</t>
  </si>
  <si>
    <t xml:space="preserve">Fixing violations, layered architecture mistakes, refactor drills</t>
  </si>
  <si>
    <t xml:space="preserve">Day 4</t>
  </si>
  <si>
    <t xml:space="preserve">KISS / DRY / YAGNI / Law of Demeter</t>
  </si>
  <si>
    <t xml:space="preserve">Avoiding overengineering, coupling, proper composition</t>
  </si>
  <si>
    <t xml:space="preserve">Day 5</t>
  </si>
  <si>
    <t xml:space="preserve">UML Crash Course</t>
  </si>
  <si>
    <t xml:space="preserve">Class/Sequence/Dependency diagrams, system-level thinking</t>
  </si>
  <si>
    <t xml:space="preserve">Day 6</t>
  </si>
  <si>
    <t xml:space="preserve">Factory Patterns</t>
  </si>
  <si>
    <t xml:space="preserve">Factory Method + Abstract Factory – config/init flexibility</t>
  </si>
  <si>
    <t xml:space="preserve">Day 7</t>
  </si>
  <si>
    <t xml:space="preserve">Builder + Prototype</t>
  </si>
  <si>
    <t xml:space="preserve">Fluent API, deep vs shallow copy, creation flexibility</t>
  </si>
  <si>
    <t xml:space="preserve">Day 8</t>
  </si>
  <si>
    <t xml:space="preserve">Singleton Pattern</t>
  </si>
  <si>
    <t xml:space="preserve">Meyers Singleton, thread safety, testability flaws</t>
  </si>
  <si>
    <t xml:space="preserve">Day 9</t>
  </si>
  <si>
    <t xml:space="preserve">Adapter + Bridge</t>
  </si>
  <si>
    <t xml:space="preserve">Interface wrapping, runtime flexibility, stable abstractions</t>
  </si>
  <si>
    <t xml:space="preserve">Day 10</t>
  </si>
  <si>
    <t xml:space="preserve">Composite + Flyweight</t>
  </si>
  <si>
    <t xml:space="preserve">Hierarchies (trees), memory sharing in systems/UI</t>
  </si>
  <si>
    <t xml:space="preserve">Day 11</t>
  </si>
  <si>
    <t xml:space="preserve">Decorator Pattern</t>
  </si>
  <si>
    <t xml:space="preserve">Add behavior dynamically, I/O, logging, RAII context</t>
  </si>
  <si>
    <t xml:space="preserve">Day 12</t>
  </si>
  <si>
    <t xml:space="preserve">Proxy Pattern</t>
  </si>
  <si>
    <t xml:space="preserve">Access control, remote, virtual proxies – embedded security</t>
  </si>
  <si>
    <t xml:space="preserve">Day 13</t>
  </si>
  <si>
    <t xml:space="preserve">Facade + Mediator</t>
  </si>
  <si>
    <t xml:space="preserve">Simplify subsystems, decouple comms (GUIs, services)</t>
  </si>
  <si>
    <t xml:space="preserve">Day 14</t>
  </si>
  <si>
    <t xml:space="preserve">Pattern Mini Project</t>
  </si>
  <si>
    <t xml:space="preserve">Use 3–4 patterns to design a practical system (CLI/UI/tool)</t>
  </si>
  <si>
    <t xml:space="preserve">Day 15</t>
  </si>
  <si>
    <t xml:space="preserve">Strategy + State</t>
  </si>
  <si>
    <t xml:space="preserve">Swap behavior vs internal state transitions (e.g., parsing, FSMs)</t>
  </si>
  <si>
    <t xml:space="preserve">Day 16</t>
  </si>
  <si>
    <t xml:space="preserve">Command + Template Method</t>
  </si>
  <si>
    <t xml:space="preserve">Undoable actions, common flow templates (e.g., setup/teardown)</t>
  </si>
  <si>
    <t xml:space="preserve">Day 17</t>
  </si>
  <si>
    <t xml:space="preserve">Observer + Pub/Sub</t>
  </si>
  <si>
    <t xml:space="preserve">Sensor/UI/event systems, loose coupling</t>
  </si>
  <si>
    <t xml:space="preserve">Day 18</t>
  </si>
  <si>
    <t xml:space="preserve">Chain of Responsibility + Iterator</t>
  </si>
  <si>
    <t xml:space="preserve">Request pipelines, STL iterator anatomy, custom iterators</t>
  </si>
  <si>
    <t xml:space="preserve">Day 19</t>
  </si>
  <si>
    <t xml:space="preserve">Visitor + Memento + Interpreter</t>
  </si>
  <si>
    <t xml:space="preserve">DSL ops, undo features, tree processing</t>
  </si>
  <si>
    <t xml:space="preserve">Day 20</t>
  </si>
  <si>
    <t xml:space="preserve">Design Smells + Refactoring</t>
  </si>
  <si>
    <t xml:space="preserve">God object, tight coupling, refactor exercises</t>
  </si>
  <si>
    <t xml:space="preserve">Day 21</t>
  </si>
  <si>
    <t xml:space="preserve">Final System Design Mock</t>
  </si>
  <si>
    <t xml:space="preserve">End-to-end system walkthrough + design critique (FAANG-style)</t>
  </si>
  <si>
    <t xml:space="preserve">Revision 1</t>
  </si>
  <si>
    <t xml:space="preserve">Revision 2</t>
  </si>
  <si>
    <t xml:space="preserve">Revision 3</t>
  </si>
  <si>
    <t xml:space="preserve">Revision 4</t>
  </si>
  <si>
    <t xml:space="preserve">Revision 5</t>
  </si>
  <si>
    <t xml:space="preserve">Revision 6</t>
  </si>
  <si>
    <t xml:space="preserve">S.O.L.I.D</t>
  </si>
  <si>
    <t xml:space="preserve">Factory Method</t>
  </si>
  <si>
    <t xml:space="preserve">AbstractFactory</t>
  </si>
  <si>
    <t xml:space="preserve">Singleton Class</t>
  </si>
  <si>
    <t xml:space="preserve">Builder Class</t>
  </si>
  <si>
    <t xml:space="preserve">Prototype</t>
  </si>
  <si>
    <t xml:space="preserve">Adapter</t>
  </si>
  <si>
    <t xml:space="preserve">Bridge Pattern</t>
  </si>
  <si>
    <t xml:space="preserve">Composite</t>
  </si>
  <si>
    <t xml:space="preserve">Decorator</t>
  </si>
  <si>
    <t xml:space="preserve">Facade</t>
  </si>
  <si>
    <t xml:space="preserve">FlyWeight</t>
  </si>
  <si>
    <t xml:space="preserve">Proxy</t>
  </si>
  <si>
    <t xml:space="preserve">Strategy</t>
  </si>
  <si>
    <t xml:space="preserve">Observer</t>
  </si>
  <si>
    <t xml:space="preserve">Command</t>
  </si>
  <si>
    <t xml:space="preserve">State</t>
  </si>
  <si>
    <t xml:space="preserve">Chain of Responsibility</t>
  </si>
  <si>
    <t xml:space="preserve">Template Method</t>
  </si>
  <si>
    <t xml:space="preserve">Mediator</t>
  </si>
  <si>
    <t xml:space="preserve">Iterator</t>
  </si>
  <si>
    <t xml:space="preserve">Visitor</t>
  </si>
  <si>
    <t xml:space="preserve">Memento</t>
  </si>
  <si>
    <t xml:space="preserve">Interpreter</t>
  </si>
  <si>
    <r>
      <rPr>
        <b val="true"/>
        <sz val="10"/>
        <rFont val="Arial"/>
        <family val="2"/>
        <charset val="1"/>
      </rPr>
      <t xml:space="preserve">🔹WEEK 1 – Core Process, Memory, and File Descriptor Foundations:</t>
    </r>
    <r>
      <rPr>
        <sz val="10"/>
        <rFont val="Arial"/>
        <family val="2"/>
        <charset val="1"/>
      </rPr>
      <t xml:space="preserve">✅ W1 Focus: Mental models for processes, signals, memory, and FDs – the absolute foundation
</t>
    </r>
  </si>
  <si>
    <t xml:space="preserve">Key Focus</t>
  </si>
  <si>
    <t xml:space="preserve">Outcome</t>
  </si>
  <si>
    <t xml:space="preserve">fork(), exec(), wait()</t>
  </si>
  <si>
    <t xml:space="preserve">Process creation, zombie handling</t>
  </si>
  <si>
    <t xml:space="preserve">Can trace and design robust process workflows</t>
  </si>
  <si>
    <t xml:space="preserve">vfork(), clone(), namespaces</t>
  </si>
  <si>
    <t xml:space="preserve">Threads vs processes vs containers</t>
  </si>
  <si>
    <t xml:space="preserve">Interview clarity on process/thread creation trade-offs</t>
  </si>
  <si>
    <t xml:space="preserve">Memory layout (stack, heap, data)</t>
  </si>
  <si>
    <t xml:space="preserve">ASLR, brk(), mmap()</t>
  </si>
  <si>
    <t xml:space="preserve">Understand memory boundaries and debugging with gdb</t>
  </si>
  <si>
    <t xml:space="preserve">File Descriptors, open(), read()</t>
  </si>
  <si>
    <t xml:space="preserve">FD table, errno, dup(), lseek()</t>
  </si>
  <si>
    <t xml:space="preserve">Deep understanding of FD internals</t>
  </si>
  <si>
    <t xml:space="preserve">Signals – kill(), signal(), sigaction()</t>
  </si>
  <si>
    <t xml:space="preserve">Signal handling, race conditions</t>
  </si>
  <si>
    <t xml:space="preserve">Write signal-safe programs</t>
  </si>
  <si>
    <t xml:space="preserve">Signal masks, pending signals, reentrancy</t>
  </si>
  <si>
    <t xml:space="preserve">Async-safe design</t>
  </si>
  <si>
    <t xml:space="preserve">Interview-safe design of signal-resilient programs</t>
  </si>
  <si>
    <t xml:space="preserve">Quiz + 2 Hands-on Tasks + Debugging</t>
  </si>
  <si>
    <t xml:space="preserve">strace, zombie detector, FD tracer</t>
  </si>
  <si>
    <t xml:space="preserve">Solidify first-week learnings</t>
  </si>
  <si>
    <t xml:space="preserve">🔹WEEK 2 – I/O Models, Threads, IPC &amp; Race Conditions:✅ W2 Focus: Concurrency, async I/O, race conditions, multithreading mastery</t>
  </si>
  <si>
    <t xml:space="preserve">Blocking vs Non-blocking I/O</t>
  </si>
  <si>
    <t xml:space="preserve">fcntl(), select(), poll()</t>
  </si>
  <si>
    <t xml:space="preserve">Real-world async readiness</t>
  </si>
  <si>
    <t xml:space="preserve">epoll() deep dive</t>
  </si>
  <si>
    <t xml:space="preserve">Level vs edge-triggered, event loops</t>
  </si>
  <si>
    <t xml:space="preserve">Build scalable servers</t>
  </si>
  <si>
    <t xml:space="preserve">Pipes, FIFOs, dup2()</t>
  </si>
  <si>
    <t xml:space="preserve">Inter-process pipelines</t>
  </si>
  <si>
    <t xml:space="preserve">Design shell-like behaviors</t>
  </si>
  <si>
    <t xml:space="preserve">POSIX Threads – pthread_create, join, mutex</t>
  </si>
  <si>
    <t xml:space="preserve">Race conditions, thread stacks</t>
  </si>
  <si>
    <t xml:space="preserve">Write robust multithreaded code</t>
  </si>
  <si>
    <t xml:space="preserve">Thread synchronization – mutex, condvars, barriers</t>
  </si>
  <si>
    <t xml:space="preserve">Producer-consumer problems</t>
  </si>
  <si>
    <t xml:space="preserve">Interview-grade sync logic</t>
  </si>
  <si>
    <t xml:space="preserve">Advanced threads – TLS, detached threads</t>
  </si>
  <si>
    <t xml:space="preserve">Cleanup handlers, race demos</t>
  </si>
  <si>
    <t xml:space="preserve">Cleanup-safe designs</t>
  </si>
  <si>
    <t xml:space="preserve">Quiz + Project: Mini multi-client echo server</t>
  </si>
  <si>
    <t xml:space="preserve">Threads or epoll()</t>
  </si>
  <si>
    <t xml:space="preserve">Combine I/O + threads like a boss</t>
  </si>
  <si>
    <t xml:space="preserve">🔹WEEK 3 – IPC, Shared Memory, Tools, Kernel Awareness✅ W3 Focus: IPC mastery, real-world embedded designs, memory &amp; perf tooling</t>
  </si>
  <si>
    <t xml:space="preserve">Shared memory – shmget(), mmap(), POSIX</t>
  </si>
  <si>
    <t xml:space="preserve">Memory sharing, real-time usage</t>
  </si>
  <si>
    <t xml:space="preserve">Design a shared log system</t>
  </si>
  <si>
    <t xml:space="preserve">Semaphores – SysV and POSIX</t>
  </si>
  <si>
    <t xml:space="preserve">Binary vs counting, deadlock prevention</t>
  </si>
  <si>
    <t xml:space="preserve">Traffic light / queue system</t>
  </si>
  <si>
    <t xml:space="preserve">Message Queues – POSIX &amp; SysV</t>
  </si>
  <si>
    <t xml:space="preserve">Prioritization, blocking behavior</t>
  </si>
  <si>
    <t xml:space="preserve">Embedded control flows</t>
  </si>
  <si>
    <t xml:space="preserve">Signals + IPC combined</t>
  </si>
  <si>
    <t xml:space="preserve">Shared memory signal sync</t>
  </si>
  <si>
    <t xml:space="preserve">Safe process-to-process comm</t>
  </si>
  <si>
    <t xml:space="preserve">System V vs POSIX – Pros/cons</t>
  </si>
  <si>
    <t xml:space="preserve">Embedded readiness</t>
  </si>
  <si>
    <t xml:space="preserve">Confident decision-making</t>
  </si>
  <si>
    <t xml:space="preserve">Tools: strace, lsof, top, htop, vmstat</t>
  </si>
  <si>
    <t xml:space="preserve">Runtime debugging</t>
  </si>
  <si>
    <t xml:space="preserve">Process analysis skills</t>
  </si>
  <si>
    <t xml:space="preserve">Debug Tools: gdb, valgrind, perf</t>
  </si>
  <si>
    <t xml:space="preserve">Memory leaks, perf profiling</t>
  </si>
  <si>
    <t xml:space="preserve">Interview-ready debugging fluency</t>
  </si>
  <si>
    <t xml:space="preserve">🔹WEEK 4 – Kernel Awareness, Projects, Mock Prep✅ W4 Focus: Final confidence boost, integration, embedded hooks, real problems</t>
  </si>
  <si>
    <t xml:space="preserve">Day 22</t>
  </si>
  <si>
    <t xml:space="preserve">/proc, /sys, udev basics</t>
  </si>
  <si>
    <t xml:space="preserve">Process introspection</t>
  </si>
  <si>
    <t xml:space="preserve">Kernel-userland bridge clarity</t>
  </si>
  <si>
    <t xml:space="preserve">Day 23</t>
  </si>
  <si>
    <t xml:space="preserve">System call internals</t>
  </si>
  <si>
    <t xml:space="preserve">strace, syscall flow</t>
  </si>
  <si>
    <t xml:space="preserve">How user mode reaches kernel</t>
  </si>
  <si>
    <t xml:space="preserve">Day 24</t>
  </si>
  <si>
    <t xml:space="preserve">Signals via kernel, delivery model</t>
  </si>
  <si>
    <t xml:space="preserve">SA_RESTART, real-time signals</t>
  </si>
  <si>
    <t xml:space="preserve">Handle weird edge cases</t>
  </si>
  <si>
    <t xml:space="preserve">Day 25</t>
  </si>
  <si>
    <t xml:space="preserve">Mini Project: Signal-resilient daemon</t>
  </si>
  <si>
    <t xml:space="preserve">Combine week 1–3</t>
  </si>
  <si>
    <t xml:space="preserve">End-to-end working system</t>
  </si>
  <si>
    <t xml:space="preserve">Day 26</t>
  </si>
  <si>
    <t xml:space="preserve">Mini Project: Shared Memory Logger</t>
  </si>
  <si>
    <t xml:space="preserve">Multithreaded IPC</t>
  </si>
  <si>
    <t xml:space="preserve">Testable, thread-safe logger</t>
  </si>
  <si>
    <t xml:space="preserve">Day 27</t>
  </si>
  <si>
    <t xml:space="preserve">Embedded boot, init, watchdogs</t>
  </si>
  <si>
    <t xml:space="preserve">Kernel init → userland</t>
  </si>
  <si>
    <t xml:space="preserve">Real product scenarios</t>
  </si>
  <si>
    <t xml:space="preserve">Day 28</t>
  </si>
  <si>
    <t xml:space="preserve">Deep Debug Round – real bug traces</t>
  </si>
  <si>
    <t xml:space="preserve">Use tools to fix</t>
  </si>
  <si>
    <t xml:space="preserve">Analyze, trace, and fix bugs</t>
  </si>
  <si>
    <t xml:space="preserve">🔹WEEK 5 – Mocks + Rapid Revision (Optional / Stretch)</t>
  </si>
  <si>
    <t xml:space="preserve">Activity</t>
  </si>
  <si>
    <t xml:space="preserve">Coverage</t>
  </si>
  <si>
    <t xml:space="preserve">Day 29</t>
  </si>
  <si>
    <t xml:space="preserve">Full mock interview (Live problems)</t>
  </si>
  <si>
    <t xml:space="preserve">Mixed topics, behavioral</t>
  </si>
  <si>
    <t xml:space="preserve">Day 30</t>
  </si>
  <si>
    <t xml:space="preserve">Review red/yellow areas</t>
  </si>
  <si>
    <t xml:space="preserve">Focused problem solving</t>
  </si>
  <si>
    <t xml:space="preserve">Exercise</t>
  </si>
  <si>
    <t xml:space="preserve">Yoga &amp; Breathing</t>
  </si>
  <si>
    <t xml:space="preserve">Monday</t>
  </si>
  <si>
    <t xml:space="preserve">Squats, Plank, Walking</t>
  </si>
  <si>
    <t xml:space="preserve">Cobra Pose, Anulom Vilom</t>
  </si>
  <si>
    <t xml:space="preserve">Tuesday</t>
  </si>
  <si>
    <t xml:space="preserve">Leg Raises, Deadlifts</t>
  </si>
  <si>
    <t xml:space="preserve">Legs up the Wall, Child’s Pose</t>
  </si>
  <si>
    <t xml:space="preserve">Wednesday</t>
  </si>
  <si>
    <t xml:space="preserve">Jogging, Kegels</t>
  </si>
  <si>
    <t xml:space="preserve">Bridge Pose, Paschimottanasana</t>
  </si>
  <si>
    <t xml:space="preserve">Thursday</t>
  </si>
  <si>
    <t xml:space="preserve">Squats, Leg Raises</t>
  </si>
  <si>
    <t xml:space="preserve">Cobra Pose, Bhramari</t>
  </si>
  <si>
    <t xml:space="preserve">Friday</t>
  </si>
  <si>
    <t xml:space="preserve">Deadlifts, Walking</t>
  </si>
  <si>
    <t xml:space="preserve">Raised Leg Pose, Alternate Nostril Breathing</t>
  </si>
  <si>
    <t xml:space="preserve">Saturday</t>
  </si>
  <si>
    <t xml:space="preserve">Plank, Kegels</t>
  </si>
  <si>
    <t xml:space="preserve">All poses with relaxation</t>
  </si>
  <si>
    <t xml:space="preserve">Sunday</t>
  </si>
  <si>
    <t xml:space="preserve">Rest or light walk/stretch</t>
  </si>
  <si>
    <t xml:space="preserve">Deep breathing and meditation</t>
  </si>
  <si>
    <t xml:space="preserve">Reps</t>
  </si>
  <si>
    <t xml:space="preserve">Sets</t>
  </si>
  <si>
    <t xml:space="preserve">Frequency</t>
  </si>
  <si>
    <t xml:space="preserve">Squats</t>
  </si>
  <si>
    <t xml:space="preserve">12–15 reps</t>
  </si>
  <si>
    <t xml:space="preserve">3 sets</t>
  </si>
  <si>
    <t xml:space="preserve">3–4 times/week</t>
  </si>
  <si>
    <t xml:space="preserve">Deadlifts</t>
  </si>
  <si>
    <t xml:space="preserve">8–10 reps</t>
  </si>
  <si>
    <t xml:space="preserve">2–3 times/week</t>
  </si>
  <si>
    <t xml:space="preserve">Leg Raises</t>
  </si>
  <si>
    <t xml:space="preserve">12 reps</t>
  </si>
  <si>
    <t xml:space="preserve">Planks</t>
  </si>
  <si>
    <t xml:space="preserve">Hold 30–60s</t>
  </si>
  <si>
    <t xml:space="preserve">Daily or alt. days</t>
  </si>
  <si>
    <t xml:space="preserve">Brisk Walking/Jog</t>
  </si>
  <si>
    <t xml:space="preserve">30 minutes</t>
  </si>
  <si>
    <t xml:space="preserve">–</t>
  </si>
  <si>
    <t xml:space="preserve">5 days/week</t>
  </si>
  <si>
    <t xml:space="preserve">Kegel Exercises</t>
  </si>
  <si>
    <t xml:space="preserve">10–15 reps</t>
  </si>
  <si>
    <t xml:space="preserve">2 sets/day</t>
  </si>
  <si>
    <t xml:space="preserve">Daily</t>
  </si>
  <si>
    <t xml:space="preserve">🧘‍♂️ Yoga Poses</t>
  </si>
  <si>
    <t xml:space="preserve">Pose</t>
  </si>
  <si>
    <t xml:space="preserve">Hold Time</t>
  </si>
  <si>
    <t xml:space="preserve">Viparita Karani (Legs up)</t>
  </si>
  <si>
    <t xml:space="preserve">5–10 minutes</t>
  </si>
  <si>
    <t xml:space="preserve">Bhujangasana (Cobra)</t>
  </si>
  <si>
    <t xml:space="preserve">15–30 seconds</t>
  </si>
  <si>
    <t xml:space="preserve">Setu Bandhasana (Bridge)</t>
  </si>
  <si>
    <t xml:space="preserve">30 seconds</t>
  </si>
  <si>
    <t xml:space="preserve">Paschimottanasana (Forward Bend)</t>
  </si>
  <si>
    <t xml:space="preserve">30–60 sec</t>
  </si>
  <si>
    <t xml:space="preserve">Uttanapadasana (Raised Legs)</t>
  </si>
  <si>
    <t xml:space="preserve">10–15 sec</t>
  </si>
  <si>
    <t xml:space="preserve">10–12</t>
  </si>
  <si>
    <t xml:space="preserve">Balasana (Child’s Pose)</t>
  </si>
  <si>
    <t xml:space="preserve">1–3 minutes</t>
  </si>
  <si>
    <t xml:space="preserve">Problem Name</t>
  </si>
  <si>
    <t xml:space="preserve">LeetCode Link</t>
  </si>
  <si>
    <t xml:space="preserve">Arrays</t>
  </si>
  <si>
    <t xml:space="preserve">Two Sum</t>
  </si>
  <si>
    <t xml:space="preserve">https://leetcode.com/problems/two-sum/</t>
  </si>
  <si>
    <t xml:space="preserve">Best Time to Buy and Sell Stock</t>
  </si>
  <si>
    <t xml:space="preserve">https://leetcode.com/problems/best-time-to-buy-and-sell-stock/</t>
  </si>
  <si>
    <t xml:space="preserve">Merge Intervals</t>
  </si>
  <si>
    <t xml:space="preserve">https://leetcode.com/problems/merge-intervals/</t>
  </si>
  <si>
    <t xml:space="preserve">Maximum Subarray (Kadane’s)</t>
  </si>
  <si>
    <t xml:space="preserve">https://leetcode.com/problems/maximum-subarray/</t>
  </si>
  <si>
    <t xml:space="preserve">Set Matrix Zeroes</t>
  </si>
  <si>
    <t xml:space="preserve">https://leetcode.com/problems/set-matrix-zeroes/</t>
  </si>
  <si>
    <t xml:space="preserve">Rotate Image</t>
  </si>
  <si>
    <t xml:space="preserve">https://leetcode.com/problems/rotate-image/</t>
  </si>
  <si>
    <t xml:space="preserve">Subarray Sum Equals K</t>
  </si>
  <si>
    <t xml:space="preserve">https://leetcode.com/problems/subarray-sum-equals-k/</t>
  </si>
  <si>
    <t xml:space="preserve">Find the Duplicate Number</t>
  </si>
  <si>
    <t xml:space="preserve">https://leetcode.com/problems/find-the-duplicate-number/</t>
  </si>
  <si>
    <t xml:space="preserve">Strings</t>
  </si>
  <si>
    <t xml:space="preserve">Valid Anagram</t>
  </si>
  <si>
    <t xml:space="preserve">https://leetcode.com/problems/valid-anagram/</t>
  </si>
  <si>
    <t xml:space="preserve">Longest Substring Without Repeating Characters</t>
  </si>
  <si>
    <t xml:space="preserve">https://leetcode.com/problems/longest-substring-without-repeating-characters/</t>
  </si>
  <si>
    <t xml:space="preserve">Longest Palindromic Substring</t>
  </si>
  <si>
    <t xml:space="preserve">https://leetcode.com/problems/longest-palindromic-substring/</t>
  </si>
  <si>
    <t xml:space="preserve">https://leetcode.com/problems/group-anagrams/</t>
  </si>
  <si>
    <t xml:space="preserve">Implement strStr()</t>
  </si>
  <si>
    <t xml:space="preserve">https://leetcode.com/problems/implement-strstr/</t>
  </si>
  <si>
    <t xml:space="preserve">Linked Lists</t>
  </si>
  <si>
    <t xml:space="preserve">Reverse Linked List</t>
  </si>
  <si>
    <t xml:space="preserve">https://leetcode.com/problems/reverse-linked-list/</t>
  </si>
  <si>
    <t xml:space="preserve">Merge Two Sorted Lists</t>
  </si>
  <si>
    <t xml:space="preserve">https://leetcode.com/problems/merge-two-sorted-lists/</t>
  </si>
  <si>
    <t xml:space="preserve">Linked List Cycle</t>
  </si>
  <si>
    <t xml:space="preserve">https://leetcode.com/problems/linked-list-cycle/</t>
  </si>
  <si>
    <t xml:space="preserve">Intersection of Two Linked Lists</t>
  </si>
  <si>
    <t xml:space="preserve">https://leetcode.com/problems/intersection-of-two-linked-lists/</t>
  </si>
  <si>
    <t xml:space="preserve">Add Two Numbers</t>
  </si>
  <si>
    <t xml:space="preserve">https://leetcode.com/problems/add-two-numbers/</t>
  </si>
  <si>
    <t xml:space="preserve">Stacks &amp; Queues</t>
  </si>
  <si>
    <t xml:space="preserve">Valid Parentheses</t>
  </si>
  <si>
    <t xml:space="preserve">https://leetcode.com/problems/valid-parentheses/</t>
  </si>
  <si>
    <t xml:space="preserve">Min Stack</t>
  </si>
  <si>
    <t xml:space="preserve">https://leetcode.com/problems/min-stack/</t>
  </si>
  <si>
    <t xml:space="preserve">Daily Temperatures</t>
  </si>
  <si>
    <t xml:space="preserve">https://leetcode.com/problems/daily-temperatures/</t>
  </si>
  <si>
    <t xml:space="preserve">Evaluate Reverse Polish Notation</t>
  </si>
  <si>
    <t xml:space="preserve">https://leetcode.com/problems/evaluate-reverse-polish-notation/</t>
  </si>
  <si>
    <t xml:space="preserve">Trees</t>
  </si>
  <si>
    <t xml:space="preserve">Binary Tree Inorder Traversal</t>
  </si>
  <si>
    <t xml:space="preserve">https://leetcode.com/problems/binary-tree-inorder-traversal/</t>
  </si>
  <si>
    <t xml:space="preserve">Maximum Depth of Binary Tree</t>
  </si>
  <si>
    <t xml:space="preserve">https://leetcode.com/problems/maximum-depth-of-binary-tree/</t>
  </si>
  <si>
    <t xml:space="preserve">Validate Binary Search Tree</t>
  </si>
  <si>
    <t xml:space="preserve">https://leetcode.com/problems/validate-binary-search-tree/</t>
  </si>
  <si>
    <t xml:space="preserve">Invert Binary Tree</t>
  </si>
  <si>
    <t xml:space="preserve">https://leetcode.com/problems/invert-binary-tree/</t>
  </si>
  <si>
    <t xml:space="preserve">Serialize and Deserialize Binary Tree</t>
  </si>
  <si>
    <t xml:space="preserve">https://leetcode.com/problems/serialize-and-deserialize-binary-tree/</t>
  </si>
  <si>
    <t xml:space="preserve">Hard</t>
  </si>
  <si>
    <t xml:space="preserve">Heaps / Priority Queue</t>
  </si>
  <si>
    <t xml:space="preserve">Merge k Sorted Lists</t>
  </si>
  <si>
    <t xml:space="preserve">https://leetcode.com/problems/merge-k-sorted-lists/</t>
  </si>
  <si>
    <t xml:space="preserve">Top K Frequent Elements</t>
  </si>
  <si>
    <t xml:space="preserve">https://leetcode.com/problems/top-k-frequent-elements/</t>
  </si>
  <si>
    <t xml:space="preserve">Graphs</t>
  </si>
  <si>
    <t xml:space="preserve">Clone Graph</t>
  </si>
  <si>
    <t xml:space="preserve">https://leetcode.com/problems/clone-graph/</t>
  </si>
  <si>
    <t xml:space="preserve">Course Schedule</t>
  </si>
  <si>
    <t xml:space="preserve">https://leetcode.com/problems/course-schedule/</t>
  </si>
  <si>
    <t xml:space="preserve">Number of Islands</t>
  </si>
  <si>
    <t xml:space="preserve">https://leetcode.com/problems/number-of-islands/</t>
  </si>
  <si>
    <t xml:space="preserve">Graph Valid Tree</t>
  </si>
  <si>
    <t xml:space="preserve">https://leetcode.com/problems/graph-valid-tree/</t>
  </si>
  <si>
    <t xml:space="preserve">Dynamic Programming</t>
  </si>
  <si>
    <t xml:space="preserve">Climbing Stairs</t>
  </si>
  <si>
    <t xml:space="preserve">https://leetcode.com/problems/climbing-stairs/</t>
  </si>
  <si>
    <t xml:space="preserve">House Robber</t>
  </si>
  <si>
    <t xml:space="preserve">https://leetcode.com/problems/house-robber/</t>
  </si>
  <si>
    <t xml:space="preserve">Coin Change</t>
  </si>
  <si>
    <t xml:space="preserve">https://leetcode.com/problems/coin-change/</t>
  </si>
  <si>
    <t xml:space="preserve">Longest Increasing Subsequence</t>
  </si>
  <si>
    <t xml:space="preserve">https://leetcode.com/problems/longest-increasing-subsequence/</t>
  </si>
  <si>
    <t xml:space="preserve">Word Break</t>
  </si>
  <si>
    <t xml:space="preserve">https://leetcode.com/problems/word-break/</t>
  </si>
  <si>
    <t xml:space="preserve">Recursion &amp; Backtracking</t>
  </si>
  <si>
    <t xml:space="preserve">Subsets</t>
  </si>
  <si>
    <t xml:space="preserve">https://leetcode.com/problems/subsets/</t>
  </si>
  <si>
    <t xml:space="preserve">Combination Sum</t>
  </si>
  <si>
    <t xml:space="preserve">https://leetcode.com/problems/combination-sum/</t>
  </si>
  <si>
    <t xml:space="preserve">Word Search</t>
  </si>
  <si>
    <t xml:space="preserve">https://leetcode.com/problems/word-search/</t>
  </si>
  <si>
    <t xml:space="preserve">N-Queens</t>
  </si>
  <si>
    <t xml:space="preserve">https://leetcode.com/problems/n-queens/</t>
  </si>
  <si>
    <t xml:space="preserve">Bit Manipulation</t>
  </si>
  <si>
    <t xml:space="preserve">Single Number</t>
  </si>
  <si>
    <t xml:space="preserve">https://leetcode.com/problems/single-number/</t>
  </si>
  <si>
    <t xml:space="preserve">Number of 1 Bits</t>
  </si>
  <si>
    <t xml:space="preserve">https://leetcode.com/problems/number-of-1-bits/</t>
  </si>
  <si>
    <t xml:space="preserve">Reverse Bits</t>
  </si>
  <si>
    <t xml:space="preserve">https://leetcode.com/problems/reverse-bits/</t>
  </si>
  <si>
    <t xml:space="preserve">Greedy</t>
  </si>
  <si>
    <t xml:space="preserve">Jump Game</t>
  </si>
  <si>
    <t xml:space="preserve">https://leetcode.com/problems/jump-game/</t>
  </si>
  <si>
    <t xml:space="preserve">Gas Station</t>
  </si>
  <si>
    <t xml:space="preserve">https://leetcode.com/problems/gas-station/</t>
  </si>
  <si>
    <t xml:space="preserve">Non-overlapping Intervals</t>
  </si>
  <si>
    <t xml:space="preserve">https://leetcode.com/problems/non-overlapping-intervals/</t>
  </si>
  <si>
    <t xml:space="preserve">Arrays &amp; Strings</t>
  </si>
  <si>
    <t xml:space="preserve">Maximum Subarray</t>
  </si>
  <si>
    <t xml:space="preserve">Implement Queue using Stacks</t>
  </si>
  <si>
    <t xml:space="preserve">https://leetcode.com/problems/implement-queue-using-stacks/</t>
  </si>
  <si>
    <t xml:space="preserve">Trees &amp; Heaps</t>
  </si>
  <si>
    <t xml:space="preserve">Kth Smallest Element in a BST</t>
  </si>
  <si>
    <t xml:space="preserve">https://leetcode.com/problems/kth-smallest-element-in-a-bst/</t>
  </si>
  <si>
    <t xml:space="preserve">Word Ladder</t>
  </si>
  <si>
    <t xml:space="preserve">https://leetcode.com/problems/word-ladder/</t>
  </si>
  <si>
    <t xml:space="preserve">Pacific Atlantic Water Flow</t>
  </si>
  <si>
    <t xml:space="preserve">https://leetcode.com/problems/pacific-atlantic-water-flow/</t>
  </si>
  <si>
    <t xml:space="preserve">Dynamic Programming &amp; Greedy</t>
  </si>
  <si>
    <t xml:space="preserve">Partition Equal Subset Sum</t>
  </si>
  <si>
    <t xml:space="preserve">https://leetcode.com/problems/partition-equal-subset-sum/</t>
  </si>
  <si>
    <t xml:space="preserve">Unique Paths</t>
  </si>
  <si>
    <t xml:space="preserve">https://leetcode.com/problems/unique-paths/</t>
  </si>
  <si>
    <t xml:space="preserve">Recursion</t>
  </si>
  <si>
    <t xml:space="preserve">Backtracking &amp; Bit Manipulation</t>
  </si>
  <si>
    <t xml:space="preserve">Pattern</t>
  </si>
  <si>
    <t xml:space="preserve">Description</t>
  </si>
  <si>
    <t xml:space="preserve">LeetCode Problem</t>
  </si>
  <si>
    <t xml:space="preserve">Link</t>
  </si>
  <si>
    <t xml:space="preserve">Typical Use Case</t>
  </si>
  <si>
    <t xml:space="preserve">Two Pointers</t>
  </si>
  <si>
    <t xml:space="preserve">Use two indices (start/end or slow/fast) to traverse collections efficiently</t>
  </si>
  <si>
    <t xml:space="preserve">Two Sum II - Input array is sorted</t>
  </si>
  <si>
    <t xml:space="preserve">https://leetcode.com/problems/two-sum-ii-input-array-is-sorted/</t>
  </si>
  <si>
    <t xml:space="preserve">Finding pairs with a sum in a sorted array</t>
  </si>
  <si>
    <t xml:space="preserve">Move Zeroes</t>
  </si>
  <si>
    <t xml:space="preserve">https://leetcode.com/problems/move-zeroes/</t>
  </si>
  <si>
    <t xml:space="preserve">In-place array manipulation</t>
  </si>
  <si>
    <t xml:space="preserve">Reverse String</t>
  </si>
  <si>
    <t xml:space="preserve">https://leetcode.com/problems/reverse-string/</t>
  </si>
  <si>
    <t xml:space="preserve">Array/string reversal with O(1) space</t>
  </si>
  <si>
    <t xml:space="preserve">Cycle detection</t>
  </si>
  <si>
    <t xml:space="preserve">Sliding Window</t>
  </si>
  <si>
    <t xml:space="preserve">Maintain a section of array for subarrays/substrings with constraints</t>
  </si>
  <si>
    <t xml:space="preserve">Unique subarrays or substrings</t>
  </si>
  <si>
    <t xml:space="preserve">Fixed/variable window</t>
  </si>
  <si>
    <t xml:space="preserve">subarray sums</t>
  </si>
  <si>
    <t xml:space="preserve">Minimum Size Subarray Sum</t>
  </si>
  <si>
    <t xml:space="preserve">https://leetcode.com/problems/minimum-size-subarray-sum/</t>
  </si>
  <si>
    <t xml:space="preserve">Smallest window meeting condition</t>
  </si>
  <si>
    <t xml:space="preserve">Fast &amp; Slow Pointers</t>
  </si>
  <si>
    <t xml:space="preserve">Use two speeds in linked structure for cycle detection or finding middle</t>
  </si>
  <si>
    <t xml:space="preserve">Detecting duplicate with O(1) space</t>
  </si>
  <si>
    <t xml:space="preserve">Linked List Cycle II</t>
  </si>
  <si>
    <t xml:space="preserve">https://leetcode.com/problems/linked-list-cycle-ii/</t>
  </si>
  <si>
    <t xml:space="preserve">Finding start of cycle</t>
  </si>
  <si>
    <t xml:space="preserve">Prefix Sum / Difference Array</t>
  </si>
  <si>
    <t xml:space="preserve">Precompute cumulative values or apply range updates efficiently</t>
  </si>
  <si>
    <t xml:space="preserve">Subarray sums/counts queries</t>
  </si>
  <si>
    <t xml:space="preserve">Range Sum Query - Immutable</t>
  </si>
  <si>
    <t xml:space="preserve">https://leetcode.com/problems/range-sum-query-immutable/</t>
  </si>
  <si>
    <t xml:space="preserve">Range sum queries</t>
  </si>
  <si>
    <t xml:space="preserve">Range Sum of BST</t>
  </si>
  <si>
    <t xml:space="preserve">https://leetcode.com/problems/range-sum-of-bst/</t>
  </si>
  <si>
    <t xml:space="preserve">Sums over subtrees</t>
  </si>
  <si>
    <t xml:space="preserve">Binary Search</t>
  </si>
  <si>
    <t xml:space="preserve">Find element or position in sorted array or monotonic space</t>
  </si>
  <si>
    <t xml:space="preserve">https://leetcode.com/problems/binary-search/</t>
  </si>
  <si>
    <t xml:space="preserve">Classic sorted array search</t>
  </si>
  <si>
    <t xml:space="preserve">Search in Rotated Sorted Array</t>
  </si>
  <si>
    <t xml:space="preserve">https://leetcode.com/problems/search-in-rotated-sorted-array/</t>
  </si>
  <si>
    <t xml:space="preserve">Modified array search</t>
  </si>
  <si>
    <t xml:space="preserve">Find Minimum in Rotated Sorted Array</t>
  </si>
  <si>
    <t xml:space="preserve">https://leetcode.com/problems/find-minimum-in-rotated-sorted-array/</t>
  </si>
  <si>
    <t xml:space="preserve">Rotated array minimum</t>
  </si>
  <si>
    <t xml:space="preserve">Sorting &amp; Two Pointers</t>
  </si>
  <si>
    <t xml:space="preserve">Sort then use pointers for grouping/pairing optimization</t>
  </si>
  <si>
    <t xml:space="preserve">3Sum</t>
  </si>
  <si>
    <t xml:space="preserve">https://leetcode.com/problems/3sum/</t>
  </si>
  <si>
    <t xml:space="preserve">Find all unique triplets with target sum</t>
  </si>
  <si>
    <t xml:space="preserve">Interval merging/overlap removal</t>
  </si>
  <si>
    <t xml:space="preserve">Meeting Rooms II</t>
  </si>
  <si>
    <t xml:space="preserve">https://leetcode.com/problems/meeting-rooms-ii/</t>
  </si>
  <si>
    <t xml:space="preserve">Min resources for schedules</t>
  </si>
  <si>
    <t xml:space="preserve">Hash Table/HashSet</t>
  </si>
  <si>
    <t xml:space="preserve">Hashing for fast lookup</t>
  </si>
  <si>
    <t xml:space="preserve">frequency</t>
  </si>
  <si>
    <t xml:space="preserve">duplicates</t>
  </si>
  <si>
    <t xml:space="preserve">Pair sum in unsorted</t>
  </si>
  <si>
    <t xml:space="preserve">Frequency check of characters</t>
  </si>
  <si>
    <t xml:space="preserve">Grouping by frequency or hash</t>
  </si>
  <si>
    <t xml:space="preserve">Stack / Monotonic Stack</t>
  </si>
  <si>
    <t xml:space="preserve">Use stack for reversing</t>
  </si>
  <si>
    <t xml:space="preserve">next greater/smaller</t>
  </si>
  <si>
    <t xml:space="preserve">Parenthesis &amp; HTML tag validation</t>
  </si>
  <si>
    <t xml:space="preserve">Previous/next greater element</t>
  </si>
  <si>
    <t xml:space="preserve">Stack with min retrieval</t>
  </si>
  <si>
    <t xml:space="preserve">Queue / Deque</t>
  </si>
  <si>
    <t xml:space="preserve">Sliding window and BFS/hot element maintenance</t>
  </si>
  <si>
    <t xml:space="preserve">Sliding Window Maximum</t>
  </si>
  <si>
    <t xml:space="preserve">https://leetcode.com/problems/sliding-window-maximum/</t>
  </si>
  <si>
    <t xml:space="preserve">Maintaining window max/min</t>
  </si>
  <si>
    <t xml:space="preserve">Binary Tree Level Order Traversal</t>
  </si>
  <si>
    <t xml:space="preserve">https://leetcode.com/problems/binary-tree-level-order-traversal/</t>
  </si>
  <si>
    <t xml:space="preserve">BFS for trees</t>
  </si>
  <si>
    <t xml:space="preserve">Simulating queues</t>
  </si>
  <si>
    <t xml:space="preserve">Tree Traversal (BFS/DFS/Recursion)</t>
  </si>
  <si>
    <t xml:space="preserve">Inorder/preorder/postorder recursive/iterative traversals</t>
  </si>
  <si>
    <t xml:space="preserve">Depth-first traversal</t>
  </si>
  <si>
    <t xml:space="preserve">Tree metrics (height/size)</t>
  </si>
  <si>
    <t xml:space="preserve">Symmetric transformation</t>
  </si>
  <si>
    <t xml:space="preserve">Tree encoding/decoding</t>
  </si>
  <si>
    <t xml:space="preserve">Graph Traversal (BFS/DFS/Topo Sort)</t>
  </si>
  <si>
    <t xml:space="preserve">Traverse/process nodes</t>
  </si>
  <si>
    <t xml:space="preserve">cycles</t>
  </si>
  <si>
    <t xml:space="preserve">components</t>
  </si>
  <si>
    <t xml:space="preserve">Finding connected components</t>
  </si>
  <si>
    <t xml:space="preserve">Graph copying</t>
  </si>
  <si>
    <t xml:space="preserve">Course Schedule (Topo Sort)</t>
  </si>
  <si>
    <t xml:space="preserve">Topological sort/cycle detection</t>
  </si>
  <si>
    <t xml:space="preserve">Backtracking</t>
  </si>
  <si>
    <t xml:space="preserve">Build solutions step-by-step</t>
  </si>
  <si>
    <t xml:space="preserve">revert on failure</t>
  </si>
  <si>
    <t xml:space="preserve">Combinatorial generation</t>
  </si>
  <si>
    <t xml:space="preserve">Find all sets matching sum</t>
  </si>
  <si>
    <t xml:space="preserve">Constraint satisfaction</t>
  </si>
  <si>
    <t xml:space="preserve">Dynamic Programming (DP)</t>
  </si>
  <si>
    <t xml:space="preserve">Subproblems</t>
  </si>
  <si>
    <t xml:space="preserve">memoization</t>
  </si>
  <si>
    <t xml:space="preserve">table buildup</t>
  </si>
  <si>
    <t xml:space="preserve">Simple DP</t>
  </si>
  <si>
    <t xml:space="preserve">fibonacci/ways-to-X</t>
  </si>
  <si>
    <t xml:space="preserve">Minimum coins/ways to make total</t>
  </si>
  <si>
    <t xml:space="preserve">Max sum non-adjacent</t>
  </si>
  <si>
    <t xml:space="preserve">String segmentation DP</t>
  </si>
  <si>
    <t xml:space="preserve">Sequence DP</t>
  </si>
  <si>
    <t xml:space="preserve">Locally optimal decisions aiming for global optima</t>
  </si>
  <si>
    <t xml:space="preserve">Reach the end with max steps</t>
  </si>
  <si>
    <t xml:space="preserve">Circular resource picking</t>
  </si>
  <si>
    <t xml:space="preserve">Intervals without overlap</t>
  </si>
  <si>
    <t xml:space="preserve">Heap / Priority Queue</t>
  </si>
  <si>
    <t xml:space="preserve">Efficient min/max retrieval</t>
  </si>
  <si>
    <t xml:space="preserve">K-way merging</t>
  </si>
  <si>
    <t xml:space="preserve">Frequency tracking</t>
  </si>
  <si>
    <t xml:space="preserve">Order-statistic</t>
  </si>
  <si>
    <t xml:space="preserve">Bitwise operations for set/unique/flip</t>
  </si>
  <si>
    <t xml:space="preserve">XOR for unique extraction</t>
  </si>
  <si>
    <t xml:space="preserve">Count 1s in binary</t>
  </si>
  <si>
    <t xml:space="preserve">Bit reversal</t>
  </si>
  <si>
    <t xml:space="preserve">Union Find / Disjoint Set</t>
  </si>
  <si>
    <t xml:space="preserve">Set grouping</t>
  </si>
  <si>
    <t xml:space="preserve">connectivity</t>
  </si>
  <si>
    <t xml:space="preserve">Graph connection test</t>
  </si>
  <si>
    <t xml:space="preserve">Number of Connected Components in an Undirected Graph</t>
  </si>
  <si>
    <t xml:space="preserve">https://leetcode.com/problems/number-of-connected-components-in-an-undirected-graph/</t>
  </si>
  <si>
    <t xml:space="preserve">Connected components count</t>
  </si>
  <si>
    <t xml:space="preserve">Trie (Prefix Tree)</t>
  </si>
  <si>
    <t xml:space="preserve">Efficient prefix queries</t>
  </si>
  <si>
    <t xml:space="preserve">Implement Trie</t>
  </si>
  <si>
    <t xml:space="preserve">https://leetcode.com/problems/implement-trie-prefix-tree/</t>
  </si>
  <si>
    <t xml:space="preserve">Trie structure implementation</t>
  </si>
  <si>
    <t xml:space="preserve">Word Search II</t>
  </si>
  <si>
    <t xml:space="preserve">https://leetcode.com/problems/word-search-ii/</t>
  </si>
  <si>
    <t xml:space="preserve">String search with prefix rules</t>
  </si>
  <si>
    <t xml:space="preserve">Segment Tree/Binary Indexed Tree</t>
  </si>
  <si>
    <t xml:space="preserve">Efficient range queries and updates</t>
  </si>
  <si>
    <t xml:space="preserve">Range Sum Query - Mutable</t>
  </si>
  <si>
    <t xml:space="preserve">https://leetcode.com/problems/range-sum-query-mutable/</t>
  </si>
  <si>
    <t xml:space="preserve">Range sums with updates</t>
  </si>
  <si>
    <t xml:space="preserve">Matrix Traversal</t>
  </si>
  <si>
    <t xml:space="preserve">Grid problem traversals/transformations</t>
  </si>
  <si>
    <t xml:space="preserve">Spiral Matrix</t>
  </si>
  <si>
    <t xml:space="preserve">https://leetcode.com/problems/spiral-matrix/</t>
  </si>
  <si>
    <t xml:space="preserve">Orderly traversal</t>
  </si>
  <si>
    <t xml:space="preserve">Rotting Oranges</t>
  </si>
  <si>
    <t xml:space="preserve">https://leetcode.com/problems/rotting-oranges/</t>
  </si>
  <si>
    <t xml:space="preserve">Multi-source BFS</t>
  </si>
  <si>
    <t xml:space="preserve">Approach</t>
  </si>
  <si>
    <t xml:space="preserve">duplicate Zeros</t>
  </si>
  <si>
    <t xml:space="preserve">2Pointers: Left, Right move towards each other, then copy zeros accordiningly</t>
  </si>
  <si>
    <t xml:space="preserve">remove-element</t>
  </si>
  <si>
    <t xml:space="preserve">2Pointers:read,write: skip the read when arr[read]==val, else write at write pointer</t>
  </si>
  <si>
    <t xml:space="preserve">max-consecutive-ones-ii</t>
  </si>
  <si>
    <t xml:space="preserve">Sliding window approach. Slid right until valid condtion, if invalid then move left and contract window</t>
  </si>
  <si>
    <t xml:space="preserve">third-maximum-number</t>
  </si>
  <si>
    <t xml:space="preserve">Sort, then count 3 unique elements, if less than 3, return arr[0]</t>
  </si>
  <si>
    <t xml:space="preserve">linkedlist-cycle-entry</t>
  </si>
  <si>
    <t xml:space="preserve">Fast slow pointers, move untile they meet. </t>
  </si>
  <si>
    <t xml:space="preserve">intersection-of-two-linked-lists</t>
  </si>
  <si>
    <t xml:space="preserve">Check lengths of the 2 lists and move</t>
  </si>
  <si>
    <t xml:space="preserve">remove-nth-node-from-end-of-list</t>
  </si>
  <si>
    <r>
      <rPr>
        <sz val="10"/>
        <rFont val="Arial"/>
        <family val="2"/>
        <charset val="1"/>
      </rPr>
      <t xml:space="preserve">2 pointers with dummy node, 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move for n steps, then follows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pointer</t>
    </r>
  </si>
  <si>
    <t xml:space="preserve">reverse-linked-list</t>
  </si>
  <si>
    <t xml:space="preserve">Keep Head first, and iteratively change next elements to new head</t>
  </si>
  <si>
    <t xml:space="preserve">odd-even-linked-list</t>
  </si>
  <si>
    <t xml:space="preserve">Take odd Head and even head, add odd to addhead, even to even head, in the end connect even head to odd</t>
  </si>
  <si>
    <t xml:space="preserve">palindrome-linked-list</t>
  </si>
  <si>
    <r>
      <rPr>
        <sz val="10"/>
        <rFont val="Arial"/>
        <family val="2"/>
        <charset val="1"/>
      </rPr>
      <t xml:space="preserve">Travel half the list and Reverse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half. Compare 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and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halfs </t>
    </r>
  </si>
  <si>
    <t xml:space="preserve">Design-doubly linkedlist</t>
  </si>
  <si>
    <t xml:space="preserve">LRU Cache</t>
  </si>
  <si>
    <t xml:space="preserve">Using Doublly LinkedList</t>
  </si>
  <si>
    <t xml:space="preserve">copy-list-with-random-pointer</t>
  </si>
  <si>
    <t xml:space="preserve">use Hashmap to track each node &amp; retrieve, create new if not found in map.if found use same or weave such the A-A’-B-B’-C-C’</t>
  </si>
  <si>
    <t xml:space="preserve">plus-one</t>
  </si>
  <si>
    <t xml:space="preserve">if Right Most is 9, then add 1 to prev, and make current zero</t>
  </si>
  <si>
    <t xml:space="preserve">spiral_matrix</t>
  </si>
  <si>
    <t xml:space="preserve">Create Boundaries,then go left to right, top to down, right to left, down to up</t>
  </si>
  <si>
    <t xml:space="preserve">pascals-triangle</t>
  </si>
  <si>
    <t xml:space="preserve">Get current value from previous row</t>
  </si>
  <si>
    <t xml:space="preserve">add-binary</t>
  </si>
  <si>
    <t xml:space="preserve">Traverse reverse based on the carry take the decision</t>
  </si>
  <si>
    <t xml:space="preserve">find-the-index-of-the-first-occurrence-in-a-string</t>
  </si>
  <si>
    <r>
      <rPr>
        <sz val="10"/>
        <rFont val="Arial"/>
        <family val="2"/>
        <charset val="1"/>
      </rPr>
      <t xml:space="preserve">Compare 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letters and then go check for full substring if found then return idx Else check again</t>
    </r>
  </si>
  <si>
    <t xml:space="preserve">longest-common-prefix</t>
  </si>
  <si>
    <r>
      <rPr>
        <sz val="10"/>
        <rFont val="Arial"/>
        <family val="2"/>
        <charset val="1"/>
      </rPr>
      <t xml:space="preserve">Check common prefixes of 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2 then , compare subsequently in all the strings</t>
    </r>
  </si>
  <si>
    <t xml:space="preserve">Rotate Array</t>
  </si>
  <si>
    <t xml:space="preserve">reverse total, revers first k, then reverse from n-k</t>
  </si>
  <si>
    <t xml:space="preserve">pascals-triangle-ii</t>
  </si>
  <si>
    <t xml:space="preserve">start from right to left , to keep the memory</t>
  </si>
  <si>
    <t xml:space="preserve">reverse-words-in-a-string</t>
  </si>
  <si>
    <t xml:space="preserve">1. From back reverse words write into new string</t>
  </si>
  <si>
    <t xml:space="preserve">can-place-flowers</t>
  </si>
  <si>
    <t xml:space="preserve">Scan left and right of the plot, if feasible plant there</t>
  </si>
  <si>
    <t xml:space="preserve">isomorphic-strings</t>
  </si>
  <si>
    <t xml:space="preserve">use hashmap to track mappings key and values, do not add if values are already mapped. Then compare</t>
  </si>
  <si>
    <t xml:space="preserve">group-shifted-strings</t>
  </si>
  <si>
    <t xml:space="preserve">Same groups will have same hash value, Hence find hash of the each string and map.</t>
  </si>
  <si>
    <t xml:space="preserve">group-anagrams</t>
  </si>
  <si>
    <t xml:space="preserve">anagrams will have same hashValue. Create a Hashfunction such that all elements will have same hash value</t>
  </si>
  <si>
    <t xml:space="preserve">longest-substring-without-repeating-characters</t>
  </si>
  <si>
    <t xml:space="preserve">Do sliding window, Keep track of the LastOccured Index. &amp; </t>
  </si>
  <si>
    <t xml:space="preserve">two-sum-iii-data-structure-design</t>
  </si>
  <si>
    <t xml:space="preserve">Keep add whenever Add is called, for find iterate through map and try to find val-element in each iteration</t>
  </si>
  <si>
    <t xml:space="preserve">4sum-ii</t>
  </si>
  <si>
    <t xml:space="preserve">create a map for all the possible sums in A&amp;B, then check for all possible sums in C&amp;D</t>
  </si>
  <si>
    <t xml:space="preserve">3SUm</t>
  </si>
  <si>
    <t xml:space="preserve">Sort and then in loop, binary seach kind of in loop we have to do k SUM;</t>
  </si>
  <si>
    <t xml:space="preserve">unique-word-abbreviation</t>
  </si>
  <si>
    <t xml:space="preserve">GetHash, then check if the given word is same as word in dict, if exists true or if hash itself not present then also true, Remaining all false</t>
  </si>
  <si>
    <t xml:space="preserve">insert-delete-getrandom-o1</t>
  </si>
  <si>
    <t xml:space="preserve">maintani Map &amp; array, map for idx-value map, array for random access</t>
  </si>
  <si>
    <t xml:space="preserve">Recursive Approach</t>
  </si>
  <si>
    <t xml:space="preserve">swap-nodes-in-pairs</t>
  </si>
  <si>
    <t xml:space="preserve">Recursive</t>
  </si>
  <si>
    <t xml:space="preserve">search-in-a-binary-search-tree</t>
  </si>
  <si>
    <t xml:space="preserve">if val&lt;rootVal then serach left, if &gt; then search right, if equal or root is null return root.</t>
  </si>
  <si>
    <t xml:space="preserve">powx-n</t>
  </si>
  <si>
    <t xml:space="preserve">if even power then multiple number by itself, if odd then multiply with result</t>
  </si>
  <si>
    <t xml:space="preserve">Prefix,suffix prod &amp; then multiple accordingly</t>
  </si>
  <si>
    <t xml:space="preserve">partition-array-according-to-given-pivot</t>
  </si>
  <si>
    <t xml:space="preserve">left, right: 2pointer</t>
  </si>
  <si>
    <t xml:space="preserve">Prime</t>
  </si>
  <si>
    <t xml:space="preserve">If divide from 2 to I*I&lt;=N, then factor count shoudl be of zero</t>
  </si>
  <si>
    <t xml:space="preserve">PrimeFactors</t>
  </si>
  <si>
    <t xml:space="preserve">Divide by2, Then divide by all Odd numbers until i*i&lt;=n</t>
  </si>
  <si>
    <t xml:space="preserve">GCD</t>
  </si>
  <si>
    <t xml:space="preserve">sieve of erotasthenes</t>
  </si>
  <si>
    <t xml:space="preserve">Smallest prime factor</t>
  </si>
  <si>
    <t xml:space="preserve">PowerSet</t>
  </si>
  <si>
    <t xml:space="preserve">N sized array will have 2^n combinations for subsets, hence we do check all combinations. If bit is set then add to the list</t>
  </si>
  <si>
    <t xml:space="preserve">count-primes</t>
  </si>
  <si>
    <t xml:space="preserve">Seive of erotasthenes</t>
  </si>
  <si>
    <t xml:space="preserve">single-number-ii</t>
  </si>
  <si>
    <t xml:space="preserve">Count each bit in all numbers, if the bit occurs multiple of K then it is repeated, if not then set bit in the result</t>
  </si>
  <si>
    <t xml:space="preserve">number-is-a-sum-of-powers-of-three</t>
  </si>
  <si>
    <t xml:space="preserve">find largest power that goes &gt; num, then try to substact 3^power from N untill it becomes zeros</t>
  </si>
  <si>
    <t xml:space="preserve">implement-stack-using-queues</t>
  </si>
  <si>
    <t xml:space="preserve">For every Push , We need to reverse the Queue so the new element will be at Front in the queue</t>
  </si>
  <si>
    <t xml:space="preserve">https://leetcode.com/problems/implement-queue-using-stacks/description/</t>
  </si>
  <si>
    <t xml:space="preserve">Every Push using 2Stacks or Pop operation change</t>
  </si>
  <si>
    <t xml:space="preserve">binary-tree-preorder-traversal</t>
  </si>
  <si>
    <t xml:space="preserve">Root-&gt;left-&gt;right</t>
  </si>
  <si>
    <t xml:space="preserve">binary-tree-inorder-traversal</t>
  </si>
  <si>
    <t xml:space="preserve">Left-&gt;root-&gt;right</t>
  </si>
  <si>
    <t xml:space="preserve">binary-tree-postorder-traversal</t>
  </si>
  <si>
    <t xml:space="preserve">left-&gt;right-&gt;root</t>
  </si>
  <si>
    <t xml:space="preserve">binary-tree-level-order-traversal</t>
  </si>
  <si>
    <t xml:space="preserve">Traverse Each level</t>
  </si>
  <si>
    <t xml:space="preserve">number-of-islands</t>
  </si>
  <si>
    <t xml:space="preserve">Do BFS for every 1 , then look,up,down,left,right..if found 1then continue to expand.</t>
  </si>
  <si>
    <t xml:space="preserve">walls-and-gates</t>
  </si>
  <si>
    <t xml:space="preserve">Do BFS for Every Gate, Update Room distance if its greater than distance from a gate</t>
  </si>
  <si>
    <t xml:space="preserve">valid-parentheses</t>
  </si>
  <si>
    <t xml:space="preserve">Push to Stack if ch is Open braces, if encountered close brace then Check if Ch is matching with stack.top else false</t>
  </si>
  <si>
    <t xml:space="preserve">daily-temperatures/</t>
  </si>
  <si>
    <t xml:space="preserve">Using stack, have to traverse if we find large one</t>
  </si>
  <si>
    <t xml:space="preserve">evaluate-reverse-polish-notation</t>
  </si>
  <si>
    <t xml:space="preserve">Push if its a numner, pop 2 times if its operator, then push result back</t>
  </si>
  <si>
    <t xml:space="preserve">decode-string</t>
  </si>
  <si>
    <t xml:space="preserve">flood-fill</t>
  </si>
  <si>
    <t xml:space="preserve">BFS using Queue, DFS</t>
  </si>
  <si>
    <t xml:space="preserve">kth-largest-element-in-an-array</t>
  </si>
  <si>
    <t xml:space="preserve">Use MinHeap</t>
  </si>
  <si>
    <t xml:space="preserve">top-k-frequent-elements</t>
  </si>
  <si>
    <t xml:space="preserve">minHeap Based on the Frequency</t>
  </si>
  <si>
    <t xml:space="preserve">kth-largest-element-in-a-stream</t>
  </si>
  <si>
    <t xml:space="preserve">minHeap with Ksize</t>
  </si>
  <si>
    <t xml:space="preserve">last-stone-weight</t>
  </si>
  <si>
    <t xml:space="preserve">useMaxHeap. Remove top 2 elements</t>
  </si>
  <si>
    <t xml:space="preserve">the-k-weakest-rows-in-a-matrix</t>
  </si>
  <si>
    <t xml:space="preserve">use maxHeap, with strength &amp; Indexes</t>
  </si>
  <si>
    <t xml:space="preserve">kth-smallest-element-in-a-sorted-matrix</t>
  </si>
  <si>
    <t xml:space="preserve">uses Min Heap and does by including the column elements</t>
  </si>
  <si>
    <t xml:space="preserve">k-closest-points-to-origin</t>
  </si>
  <si>
    <t xml:space="preserve">maxHeap</t>
  </si>
  <si>
    <t xml:space="preserve">minimum-cost-to-connect-sticks</t>
  </si>
  <si>
    <t xml:space="preserve">Use MinHeap, continue push costs until heap is 1</t>
  </si>
  <si>
    <t xml:space="preserve">furthest-building-you-can-reach</t>
  </si>
  <si>
    <t xml:space="preserve">useMinHeap and fill with Ladders.</t>
  </si>
  <si>
    <t xml:space="preserve">sqrtx</t>
  </si>
  <si>
    <t xml:space="preserve">Do binary Search 2 to X; </t>
  </si>
  <si>
    <t xml:space="preserve">Stage</t>
  </si>
  <si>
    <t xml:space="preserve">What to Do</t>
  </si>
  <si>
    <t xml:space="preserve">🔁 1</t>
  </si>
  <si>
    <t xml:space="preserve">Summarize the topic in your own words right after learning (don't reread yet).</t>
  </si>
  <si>
    <t xml:space="preserve">🔁 2</t>
  </si>
  <si>
    <t xml:space="preserve">Check your recall using flashcards or questions. Add examples or analogies.</t>
  </si>
  <si>
    <t xml:space="preserve">🔁 3</t>
  </si>
  <si>
    <t xml:space="preserve">Quiz again, draw diagrams or flowcharts. Teach it out loud.</t>
  </si>
  <si>
    <t xml:space="preserve">🔁 4</t>
  </si>
  <si>
    <t xml:space="preserve">Try answering a real or mock interview question using this concept.</t>
  </si>
  <si>
    <t xml:space="preserve">🔁 5</t>
  </si>
  <si>
    <t xml:space="preserve">Mix it with other topics (“interleaving”) and solve applied problems.</t>
  </si>
  <si>
    <t xml:space="preserve">🔁 6</t>
  </si>
  <si>
    <t xml:space="preserve">Explain the concept as if teaching someone new, with zero notes.</t>
  </si>
  <si>
    <t xml:space="preserve">🔁 7</t>
  </si>
  <si>
    <t xml:space="preserve">Use in a mock interview or real-world example. Record and evaluate yourself.</t>
  </si>
  <si>
    <t xml:space="preserve">RevisionNotes</t>
  </si>
  <si>
    <t xml:space="preserve">Concept</t>
  </si>
  <si>
    <t xml:space="preserve">R6</t>
  </si>
  <si>
    <t xml:space="preserve">Object Slicing</t>
  </si>
  <si>
    <t xml:space="preserve">Hiding/Name hiding</t>
  </si>
  <si>
    <t xml:space="preserve">inversion-count-in-array-using-merge-sort</t>
  </si>
  <si>
    <t xml:space="preserve">count-number-subarrays-given-xor</t>
  </si>
  <si>
    <t xml:space="preserve">meetings-in-one-room</t>
  </si>
  <si>
    <t xml:space="preserve">job-sequencing-problem</t>
  </si>
  <si>
    <t xml:space="preserve">fractional-knapsack</t>
  </si>
  <si>
    <t xml:space="preserve">subset-sum-problem-dp-25</t>
  </si>
  <si>
    <t xml:space="preserve">m-coloring-problem</t>
  </si>
  <si>
    <t xml:space="preserve">rat-in-a-maze</t>
  </si>
  <si>
    <t xml:space="preserve">nth-root-of-a-number</t>
  </si>
  <si>
    <t xml:space="preserve">find-median-row-wise-sorted-matrix</t>
  </si>
  <si>
    <t xml:space="preserve">Heap Implementation</t>
  </si>
  <si>
    <t xml:space="preserve">k-maximum-sum-combinations-two-arrays</t>
  </si>
  <si>
    <t xml:space="preserve">implement-stack-using-array</t>
  </si>
  <si>
    <t xml:space="preserve">array-implementation-of-queue-simple</t>
  </si>
  <si>
    <t xml:space="preserve">next-smaller-element</t>
  </si>
  <si>
    <t xml:space="preserve">maximum-of-minimum-for-every-window-size3453</t>
  </si>
  <si>
    <t xml:space="preserve">print-nodes-top-view-binary-tree</t>
  </si>
  <si>
    <t xml:space="preserve">bottom-view-of-binary-tree</t>
  </si>
  <si>
    <t xml:space="preserve">morris-traversal-for-preorder</t>
  </si>
  <si>
    <t xml:space="preserve">check-for-children-sum-property-in-a-binary-tree</t>
  </si>
  <si>
    <t xml:space="preserve">inorder-predecessor-successor-given-key-bst</t>
  </si>
  <si>
    <t xml:space="preserve">floor-and-ceil-from-a-bst</t>
  </si>
  <si>
    <t xml:space="preserve">count-distinct-elements-in-every-window-of-size-k</t>
  </si>
  <si>
    <t xml:space="preserve">depth-first-search-or-dfs-for-a-graph</t>
  </si>
  <si>
    <t xml:space="preserve">dijkstras-shortest-path-algorithm-greedy-algo-7</t>
  </si>
  <si>
    <t xml:space="preserve">implementing-floyd-warshall2042</t>
  </si>
  <si>
    <t xml:space="preserve">minimum-spanning-tree</t>
  </si>
  <si>
    <t xml:space="preserve">matrix-chain-multiplication-dp-8</t>
  </si>
  <si>
    <t xml:space="preserve">0-1-knapsack-problem-dp-10</t>
  </si>
  <si>
    <t xml:space="preserve">weighted-job-scheduling</t>
  </si>
  <si>
    <t xml:space="preserve">trie-insert-and-search</t>
  </si>
  <si>
    <t xml:space="preserve">longest-valid-word-with-all-prefixes</t>
  </si>
  <si>
    <t xml:space="preserve">longest-word-in-dictionary</t>
  </si>
  <si>
    <t xml:space="preserve">Data Structues</t>
  </si>
  <si>
    <t xml:space="preserve">Sorting</t>
  </si>
  <si>
    <t xml:space="preserve">Searching</t>
  </si>
  <si>
    <t xml:space="preserve">Category</t>
  </si>
  <si>
    <t xml:space="preserve">Must-Know Items</t>
  </si>
  <si>
    <t xml:space="preserve">Array , String</t>
  </si>
  <si>
    <t xml:space="preserve">Bubble, Selection, Insertion Sort</t>
  </si>
  <si>
    <t xml:space="preserve">Linear Search</t>
  </si>
  <si>
    <t xml:space="preserve">Containers</t>
  </si>
  <si>
    <t xml:space="preserve">vector, string, unordered_map, unordered_set, stack, queue, deque, priority_queue</t>
  </si>
  <si>
    <t xml:space="preserve">Linkedlist</t>
  </si>
  <si>
    <t xml:space="preserve">Merge Sort, Quick Sort</t>
  </si>
  <si>
    <t xml:space="preserve">Algorithms</t>
  </si>
  <si>
    <t xml:space="preserve">sort, binary_search, lower_bound, reverse, next_permutation</t>
  </si>
  <si>
    <t xml:space="preserve">stack, Queue,Deque</t>
  </si>
  <si>
    <t xml:space="preserve">heap Sort</t>
  </si>
  <si>
    <t xml:space="preserve">BS:First/Last Occurrence</t>
  </si>
  <si>
    <t xml:space="preserve">Utilities</t>
  </si>
  <si>
    <t xml:space="preserve">pair, make_pair, auto, begin/end, custom comparators</t>
  </si>
  <si>
    <t xml:space="preserve">HashMap, HashSet</t>
  </si>
  <si>
    <t xml:space="preserve">Count Sort</t>
  </si>
  <si>
    <t xml:space="preserve">BS: Search in Rotated Array</t>
  </si>
  <si>
    <t xml:space="preserve">Heap(priority queue)- Min/max heap</t>
  </si>
  <si>
    <t xml:space="preserve">Radix, Bucket Sort</t>
  </si>
  <si>
    <t xml:space="preserve">✅ 🌐 STL Mastery Order (for C++)</t>
  </si>
  <si>
    <t xml:space="preserve">Tier</t>
  </si>
  <si>
    <t xml:space="preserve">STL Component</t>
  </si>
  <si>
    <t xml:space="preserve">Tier 1</t>
  </si>
  <si>
    <t xml:space="preserve">vector, string, unordered_map, unordered_set, stack, queue, deque</t>
  </si>
  <si>
    <t xml:space="preserve">Tier 2</t>
  </si>
  <si>
    <t xml:space="preserve">map, set, priority_queue (min/max), pair, tuple</t>
  </si>
  <si>
    <t xml:space="preserve">Tier 3</t>
  </si>
  <si>
    <t xml:space="preserve">list, bitset, multimap, custom comparator functions</t>
  </si>
  <si>
    <t xml:space="preserve">✅ Suggested Learning Flow</t>
  </si>
  <si>
    <t xml:space="preserve">Finish Prerequisites → Arrays, Sorting, Hashing, STL (2–4 days)</t>
  </si>
  <si>
    <t xml:space="preserve">Core DSA (Neetcode 150/Striver/Grind): 4–6 weeks</t>
  </si>
  <si>
    <t xml:space="preserve">Trees/Graphs/Heap/Backtracking → Deep dive</t>
  </si>
  <si>
    <t xml:space="preserve">Advanced Patterns (DP, Tries, Segment Trees) if time allows</t>
  </si>
  <si>
    <t xml:space="preserve">📅 Day</t>
  </si>
  <si>
    <t xml:space="preserve">Topics</t>
  </si>
  <si>
    <t xml:space="preserve">Time Block</t>
  </si>
  <si>
    <t xml:space="preserve">Resources</t>
  </si>
  <si>
    <t xml:space="preserve">✅ Arrays, Strings, Hashing, Stack, Queue, Deque, STL overview</t>
  </si>
  <si>
    <t xml:space="preserve">6–8 hrs</t>
  </si>
  <si>
    <t xml:space="preserve">Core linear structures &amp; STL hands-on</t>
  </si>
  <si>
    <t xml:space="preserve">Neetcode Easy, LeetCode Easy</t>
  </si>
  <si>
    <t xml:space="preserve">✅ Linked List, Recursion, Searching (Linear &amp; Binary), Sorting (All 7 types), STL algorithms</t>
  </si>
  <si>
    <t xml:space="preserve">Execution + STL mastery + base logic clarity</t>
  </si>
  <si>
    <t xml:space="preserve">Neetcode Easy/Medium, VisualAlgo.net</t>
  </si>
  <si>
    <t xml:space="preserve">🔍 Topic</t>
  </si>
  <si>
    <t xml:space="preserve">What You Should Know</t>
  </si>
  <si>
    <t xml:space="preserve">1. Purpose</t>
  </si>
  <si>
    <t xml:space="preserve">Why this container exists and when to use it</t>
  </si>
  <si>
    <t xml:space="preserve">🔁 Do the Same for:</t>
  </si>
  <si>
    <t xml:space="preserve">2. Declaration &amp; Initialization</t>
  </si>
  <si>
    <t xml:space="preserve">Basic and advanced ways to declare</t>
  </si>
  <si>
    <t xml:space="preserve">vector</t>
  </si>
  <si>
    <t xml:space="preserve">3. Access &amp; Iteration</t>
  </si>
  <si>
    <t xml:space="preserve">How to read/write using index, iterators, auto, range-based loops</t>
  </si>
  <si>
    <t xml:space="preserve">string</t>
  </si>
  <si>
    <t xml:space="preserve">4. Key Operations</t>
  </si>
  <si>
    <t xml:space="preserve">.push_back(), .pop_back(), .insert(), .erase(), .size(), .clear(), .resize(), etc.</t>
  </si>
  <si>
    <t xml:space="preserve">unordered_map / map</t>
  </si>
  <si>
    <t xml:space="preserve">5. Time Complexities</t>
  </si>
  <si>
    <t xml:space="preserve">Insert/remove at end, middle, beginning—what’s O(1) vs O(n)</t>
  </si>
  <si>
    <t xml:space="preserve">unordered_set / set</t>
  </si>
  <si>
    <t xml:space="preserve">6. Common Pitfalls</t>
  </si>
  <si>
    <t xml:space="preserve">Out-of-bounds access, iterator invalidation after erase, etc.</t>
  </si>
  <si>
    <t xml:space="preserve">stack</t>
  </si>
  <si>
    <t xml:space="preserve">7. DSA Use-Cases</t>
  </si>
  <si>
    <t xml:space="preserve">Where is this container used? (Sliding window, dynamic arrays, etc.)</t>
  </si>
  <si>
    <t xml:space="preserve">queue</t>
  </si>
  <si>
    <t xml:space="preserve">8. STL Functions</t>
  </si>
  <si>
    <t xml:space="preserve">Algorithms like sort(v.begin(), v.end()), reverse(), find(), etc.</t>
  </si>
  <si>
    <t xml:space="preserve">deque</t>
  </si>
  <si>
    <t xml:space="preserve">9. Coding Practice</t>
  </si>
  <si>
    <t xml:space="preserve">Solve 2–3 problems using this container specifically</t>
  </si>
  <si>
    <t xml:space="preserve">priority_queue</t>
  </si>
  <si>
    <t xml:space="preserve">10. Notes</t>
  </si>
  <si>
    <t xml:space="preserve">Your personal tricks, edge cases, patterns learned</t>
  </si>
  <si>
    <t xml:space="preserve">pair</t>
  </si>
  <si>
    <t xml:space="preserve">Iterators</t>
  </si>
  <si>
    <t xml:space="preserve">Useful algorithms: sort, reverse, lower_bound, binary_search, etc.</t>
  </si>
  <si>
    <t xml:space="preserve">flatten-a-multilevel-doubly-linked-list</t>
  </si>
  <si>
    <t xml:space="preserve">merge-two-sorted-lists</t>
  </si>
  <si>
    <t xml:space="preserve">Rabin-Karp algorithm</t>
  </si>
  <si>
    <t xml:space="preserve">Knuth–Morris–Pratt Algorithm</t>
  </si>
  <si>
    <t xml:space="preserve">Divide and Conquer</t>
  </si>
  <si>
    <t xml:space="preserve">valid-sudoku</t>
  </si>
  <si>
    <t xml:space="preserve">find-duplicate-subtrees</t>
  </si>
  <si>
    <t xml:space="preserve">05:00-06:00</t>
  </si>
  <si>
    <t xml:space="preserve">06:00-07:00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</si>
</sst>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 mmm\ yyyy"/>
    <numFmt numFmtId="166" formatCode="General"/>
    <numFmt numFmtId="167" formatCode="dd/mm/yy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2"/>
      <color rgb="FF0000FF"/>
      <name val="Arial"/>
      <family val="2"/>
      <charset val="1"/>
    </font>
    <font>
      <b val="true"/>
      <sz val="12"/>
      <name val="DejaVu Serif"/>
      <family val="1"/>
      <charset val="1"/>
    </font>
    <font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C900FF"/>
      <name val="Arial"/>
      <family val="2"/>
      <charset val="1"/>
    </font>
    <font>
      <b val="true"/>
      <sz val="12"/>
      <color rgb="FF8F080A"/>
      <name val="Arial"/>
      <family val="2"/>
      <charset val="1"/>
    </font>
    <font>
      <sz val="10"/>
      <name val="Times New Roman"/>
      <family val="1"/>
      <charset val="1"/>
    </font>
    <font>
      <vertAlign val="superscript"/>
      <sz val="10"/>
      <name val="Arial"/>
      <family val="2"/>
      <charset val="1"/>
    </font>
    <font>
      <sz val="10"/>
      <color rgb="FF3D59F9"/>
      <name val="Arial"/>
      <family val="2"/>
      <charset val="1"/>
    </font>
    <font>
      <b val="true"/>
      <sz val="16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2FCF1"/>
        <bgColor rgb="FFAEFCC3"/>
      </patternFill>
    </fill>
    <fill>
      <patternFill patternType="solid">
        <fgColor rgb="FFAEFCC3"/>
        <bgColor rgb="FFA6F9AB"/>
      </patternFill>
    </fill>
    <fill>
      <patternFill patternType="solid">
        <fgColor rgb="FFA6F9AB"/>
        <bgColor rgb="FFAEFCC3"/>
      </patternFill>
    </fill>
    <fill>
      <patternFill patternType="solid">
        <fgColor rgb="FFF7FAE2"/>
        <bgColor rgb="FFFFFFCC"/>
      </patternFill>
    </fill>
    <fill>
      <patternFill patternType="solid">
        <fgColor rgb="FFD8C1BD"/>
        <bgColor rgb="FFFF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13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2"/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color rgb="FF996600"/>
      </font>
      <fill>
        <patternFill>
          <bgColor rgb="FFFFFFCC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  <dxf>
      <font>
        <name val="Arial"/>
        <charset val="1"/>
        <family val="2"/>
        <color rgb="FF006600"/>
      </font>
      <fill>
        <patternFill>
          <bgColor rgb="FFCCFFCC"/>
        </patternFill>
      </fill>
    </dxf>
    <dxf>
      <font>
        <name val="Arial"/>
        <charset val="1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7FAE2"/>
      <rgbColor rgb="FFCC0000"/>
      <rgbColor rgb="FF00FF00"/>
      <rgbColor rgb="FF0000FF"/>
      <rgbColor rgb="FFFFFF00"/>
      <rgbColor rgb="FFC900FF"/>
      <rgbColor rgb="FF00FFFF"/>
      <rgbColor rgb="FF8F080A"/>
      <rgbColor rgb="FF006600"/>
      <rgbColor rgb="FF000080"/>
      <rgbColor rgb="FF996600"/>
      <rgbColor rgb="FF800080"/>
      <rgbColor rgb="FF008080"/>
      <rgbColor rgb="FFD8C1BD"/>
      <rgbColor rgb="FF808080"/>
      <rgbColor rgb="FF9999FF"/>
      <rgbColor rgb="FF993366"/>
      <rgbColor rgb="FFFFFFCC"/>
      <rgbColor rgb="FFAEFCC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92FCF1"/>
      <rgbColor rgb="FFCCFFCC"/>
      <rgbColor rgb="FFFFFF99"/>
      <rgbColor rgb="FFA6F9AB"/>
      <rgbColor rgb="FFFF99CC"/>
      <rgbColor rgb="FFCC99FF"/>
      <rgbColor rgb="FFFFCCCC"/>
      <rgbColor rgb="FF3D59F9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Push Button 1" descr="Arrays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Arrays</a:t>
              </a:r>
            </a:p>
          </xdr:txBody>
        </xdr:sp>
        <xdr:clientData/>
      </xdr:twoCellAnchor>
    </mc:Choice>
  </mc:AlternateContent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notion.so/Problems-23f6a5e1c06880f58f99e893f95bf4d7?pvs=25" TargetMode="External"/><Relationship Id="rId2" Type="http://schemas.openxmlformats.org/officeDocument/2006/relationships/hyperlink" Target="https://leetcode.com/problems/two-sum/description/?envType=problem-list-v2&amp;envId=229fn1gm" TargetMode="External"/><Relationship Id="rId3" Type="http://schemas.openxmlformats.org/officeDocument/2006/relationships/hyperlink" Target="https://leetcode.com/problems/contains-duplicate/" TargetMode="External"/><Relationship Id="rId4" Type="http://schemas.openxmlformats.org/officeDocument/2006/relationships/hyperlink" Target="https://leetcode.com/problems/contains-duplicate-ii/" TargetMode="External"/><Relationship Id="rId5" Type="http://schemas.openxmlformats.org/officeDocument/2006/relationships/hyperlink" Target="https://leetcode.com/problems/valid-anagram" TargetMode="External"/><Relationship Id="rId6" Type="http://schemas.openxmlformats.org/officeDocument/2006/relationships/hyperlink" Target="https://leetcode.com/problems/top-k-frequent-elements/" TargetMode="External"/><Relationship Id="rId7" Type="http://schemas.openxmlformats.org/officeDocument/2006/relationships/hyperlink" Target="https://leetcode.com/problems/group-anagrams/" TargetMode="External"/><Relationship Id="rId8" Type="http://schemas.openxmlformats.org/officeDocument/2006/relationships/hyperlink" Target="https://leetcode.com/problems/product-of-array-except-self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description/" TargetMode="External"/><Relationship Id="rId2" Type="http://schemas.openxmlformats.org/officeDocument/2006/relationships/hyperlink" Target="https://leetcode.com/problems/contains-duplicate/" TargetMode="External"/><Relationship Id="rId3" Type="http://schemas.openxmlformats.org/officeDocument/2006/relationships/hyperlink" Target="https://leetcode.com/problems/contains-duplicate-ii/" TargetMode="External"/><Relationship Id="rId4" Type="http://schemas.openxmlformats.org/officeDocument/2006/relationships/hyperlink" Target="https://leetcode.com/problems/top-k-frequent-elements/" TargetMode="External"/><Relationship Id="rId5" Type="http://schemas.openxmlformats.org/officeDocument/2006/relationships/hyperlink" Target="https://leetcode.com/problems/valid-anagram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duplicate-zeros/" TargetMode="External"/><Relationship Id="rId2" Type="http://schemas.openxmlformats.org/officeDocument/2006/relationships/hyperlink" Target="https://leetcode.com/problems/remove-element/" TargetMode="External"/><Relationship Id="rId3" Type="http://schemas.openxmlformats.org/officeDocument/2006/relationships/hyperlink" Target="https://leetcode.com/problems/max-consecutive-ones-ii/" TargetMode="External"/><Relationship Id="rId4" Type="http://schemas.openxmlformats.org/officeDocument/2006/relationships/hyperlink" Target="https://leetcode.com/problems/third-maximum-number" TargetMode="External"/><Relationship Id="rId5" Type="http://schemas.openxmlformats.org/officeDocument/2006/relationships/hyperlink" Target="https://leetcode.com/problems/linked-list-cycle-ii/description/" TargetMode="External"/><Relationship Id="rId6" Type="http://schemas.openxmlformats.org/officeDocument/2006/relationships/hyperlink" Target="https://leetcode.com/problems/intersection-of-two-linked-lists/description/" TargetMode="External"/><Relationship Id="rId7" Type="http://schemas.openxmlformats.org/officeDocument/2006/relationships/hyperlink" Target="https://leetcode.com/problems/remove-nth-node-from-end-of-list" TargetMode="External"/><Relationship Id="rId8" Type="http://schemas.openxmlformats.org/officeDocument/2006/relationships/hyperlink" Target="https://leetcode.com/problems/reverse-linked-list" TargetMode="External"/><Relationship Id="rId9" Type="http://schemas.openxmlformats.org/officeDocument/2006/relationships/hyperlink" Target="https://leetcode.com/problems/odd-even-linked-list" TargetMode="External"/><Relationship Id="rId10" Type="http://schemas.openxmlformats.org/officeDocument/2006/relationships/hyperlink" Target="https://leetcode.com/problems/palindrome-linked-list/" TargetMode="External"/><Relationship Id="rId11" Type="http://schemas.openxmlformats.org/officeDocument/2006/relationships/hyperlink" Target="https://leetcode.com/explore/learn/card/linked-list/210/doubly-linked-list/1297/" TargetMode="External"/><Relationship Id="rId12" Type="http://schemas.openxmlformats.org/officeDocument/2006/relationships/hyperlink" Target="https://leetcode.com/problems/lru-cache/description/" TargetMode="External"/><Relationship Id="rId13" Type="http://schemas.openxmlformats.org/officeDocument/2006/relationships/hyperlink" Target="https://leetcode.com/problems/copy-list-with-random-pointer" TargetMode="External"/><Relationship Id="rId14" Type="http://schemas.openxmlformats.org/officeDocument/2006/relationships/hyperlink" Target="https://leetcode.com/problems/plus-one" TargetMode="External"/><Relationship Id="rId15" Type="http://schemas.openxmlformats.org/officeDocument/2006/relationships/hyperlink" Target="https://leetcode.com/problems/spiral-matrix" TargetMode="External"/><Relationship Id="rId16" Type="http://schemas.openxmlformats.org/officeDocument/2006/relationships/hyperlink" Target="https://leetcode.com/problems/pascals-triangle" TargetMode="External"/><Relationship Id="rId17" Type="http://schemas.openxmlformats.org/officeDocument/2006/relationships/hyperlink" Target="https://leetcode.com/problems/add-binary" TargetMode="External"/><Relationship Id="rId18" Type="http://schemas.openxmlformats.org/officeDocument/2006/relationships/hyperlink" Target="https://leetcode.com/problems/find-the-index-of-the-first-occurrence-in-a-string" TargetMode="External"/><Relationship Id="rId19" Type="http://schemas.openxmlformats.org/officeDocument/2006/relationships/hyperlink" Target="https://leetcode.com/problems/longest-common-prefix" TargetMode="External"/><Relationship Id="rId20" Type="http://schemas.openxmlformats.org/officeDocument/2006/relationships/hyperlink" Target="https://leetcode.com/problems/rotate-array" TargetMode="External"/><Relationship Id="rId21" Type="http://schemas.openxmlformats.org/officeDocument/2006/relationships/hyperlink" Target="https://leetcode.com/problems/pascals-triangle-ii" TargetMode="External"/><Relationship Id="rId22" Type="http://schemas.openxmlformats.org/officeDocument/2006/relationships/hyperlink" Target="https://leetcode.com/problems/reverse-words-in-a-string" TargetMode="External"/><Relationship Id="rId23" Type="http://schemas.openxmlformats.org/officeDocument/2006/relationships/hyperlink" Target="https://leetcode.com/problems/can-place-flowers" TargetMode="External"/><Relationship Id="rId24" Type="http://schemas.openxmlformats.org/officeDocument/2006/relationships/hyperlink" Target="https://leetcode.com/problems/isomorphic-strings" TargetMode="External"/><Relationship Id="rId25" Type="http://schemas.openxmlformats.org/officeDocument/2006/relationships/hyperlink" Target="https://leetcode.com/problems/group-shifted-strings" TargetMode="External"/><Relationship Id="rId26" Type="http://schemas.openxmlformats.org/officeDocument/2006/relationships/hyperlink" Target="https://leetcode.com/problems/group-anagrams" TargetMode="External"/><Relationship Id="rId27" Type="http://schemas.openxmlformats.org/officeDocument/2006/relationships/hyperlink" Target="https://leetcode.com/problems/longest-substring-without-repeating-characters/" TargetMode="External"/><Relationship Id="rId28" Type="http://schemas.openxmlformats.org/officeDocument/2006/relationships/hyperlink" Target="https://leetcode.com/problems/two-sum-iii-data-structure-design" TargetMode="External"/><Relationship Id="rId29" Type="http://schemas.openxmlformats.org/officeDocument/2006/relationships/hyperlink" Target="https://leetcode.com/problems/4sum-ii" TargetMode="External"/><Relationship Id="rId30" Type="http://schemas.openxmlformats.org/officeDocument/2006/relationships/hyperlink" Target="https://leetcode.com/problems/3sum/" TargetMode="External"/><Relationship Id="rId31" Type="http://schemas.openxmlformats.org/officeDocument/2006/relationships/hyperlink" Target="https://leetcode.com/problems/unique-word-abbreviation/" TargetMode="External"/><Relationship Id="rId32" Type="http://schemas.openxmlformats.org/officeDocument/2006/relationships/hyperlink" Target="https://leetcode.com/problems/insert-delete-getrandom-o1" TargetMode="External"/><Relationship Id="rId33" Type="http://schemas.openxmlformats.org/officeDocument/2006/relationships/hyperlink" Target="https://leetcode.com/problems/reverse-linked-list" TargetMode="External"/><Relationship Id="rId34" Type="http://schemas.openxmlformats.org/officeDocument/2006/relationships/hyperlink" Target="https://leetcode.com/problems/swap-nodes-in-pairs/" TargetMode="External"/><Relationship Id="rId35" Type="http://schemas.openxmlformats.org/officeDocument/2006/relationships/hyperlink" Target="https://leetcode.com/problems/search-in-a-binary-search-tree" TargetMode="External"/><Relationship Id="rId36" Type="http://schemas.openxmlformats.org/officeDocument/2006/relationships/hyperlink" Target="https://leetcode.com/problems/powx-n/" TargetMode="External"/><Relationship Id="rId37" Type="http://schemas.openxmlformats.org/officeDocument/2006/relationships/hyperlink" Target="https://leetcode.com/problems/product-of-array-except-self" TargetMode="External"/><Relationship Id="rId38" Type="http://schemas.openxmlformats.org/officeDocument/2006/relationships/hyperlink" Target="https://leetcode.com/problems/partition-array-according-to-given-pivot" TargetMode="External"/><Relationship Id="rId39" Type="http://schemas.openxmlformats.org/officeDocument/2006/relationships/hyperlink" Target="https://leetcode.com/problems/subsets" TargetMode="External"/><Relationship Id="rId40" Type="http://schemas.openxmlformats.org/officeDocument/2006/relationships/hyperlink" Target="https://leetcode.com/problems/count-primes/description/" TargetMode="External"/><Relationship Id="rId41" Type="http://schemas.openxmlformats.org/officeDocument/2006/relationships/hyperlink" Target="https://leetcode.com/problems/single-number-ii" TargetMode="External"/><Relationship Id="rId42" Type="http://schemas.openxmlformats.org/officeDocument/2006/relationships/hyperlink" Target="https://leetcode.com/problems/check-if-number-is-a-sum-of-powers-of-three" TargetMode="External"/><Relationship Id="rId43" Type="http://schemas.openxmlformats.org/officeDocument/2006/relationships/hyperlink" Target="https://leetcode.com/problems/implement-stack-using-queues/description/" TargetMode="External"/><Relationship Id="rId44" Type="http://schemas.openxmlformats.org/officeDocument/2006/relationships/hyperlink" Target="https://leetcode.com/problems/implement-queue-using-stacks/description/" TargetMode="External"/><Relationship Id="rId45" Type="http://schemas.openxmlformats.org/officeDocument/2006/relationships/hyperlink" Target="https://leetcode.com/problems/binary-tree-preorder-traversal/description/" TargetMode="External"/><Relationship Id="rId46" Type="http://schemas.openxmlformats.org/officeDocument/2006/relationships/hyperlink" Target="https://leetcode.com/problems/binary-tree-inorder-traversal/description/" TargetMode="External"/><Relationship Id="rId47" Type="http://schemas.openxmlformats.org/officeDocument/2006/relationships/hyperlink" Target="https://leetcode.com/problems/binary-tree-postorder-traversal/description/" TargetMode="External"/><Relationship Id="rId48" Type="http://schemas.openxmlformats.org/officeDocument/2006/relationships/hyperlink" Target="https://leetcode.com/problems/binary-tree-level-order-traversal/description/" TargetMode="External"/><Relationship Id="rId49" Type="http://schemas.openxmlformats.org/officeDocument/2006/relationships/hyperlink" Target="https://leetcode.com/problems/number-of-islands" TargetMode="External"/><Relationship Id="rId50" Type="http://schemas.openxmlformats.org/officeDocument/2006/relationships/hyperlink" Target="https://leetcode.com/problems/walls-and-gates/description/" TargetMode="External"/><Relationship Id="rId51" Type="http://schemas.openxmlformats.org/officeDocument/2006/relationships/hyperlink" Target="https://leetcode.com/problems/valid-parentheses/description/" TargetMode="External"/><Relationship Id="rId52" Type="http://schemas.openxmlformats.org/officeDocument/2006/relationships/hyperlink" Target="https://leetcode.com/problems/daily-temperatures/" TargetMode="External"/><Relationship Id="rId53" Type="http://schemas.openxmlformats.org/officeDocument/2006/relationships/hyperlink" Target="https://leetcode.com/problems/evaluate-reverse-polish-notation" TargetMode="External"/><Relationship Id="rId54" Type="http://schemas.openxmlformats.org/officeDocument/2006/relationships/hyperlink" Target="https://leetcode.com/problems/decode-string/" TargetMode="External"/><Relationship Id="rId55" Type="http://schemas.openxmlformats.org/officeDocument/2006/relationships/hyperlink" Target="https://leetcode.com/problems/flood-fill/description/" TargetMode="External"/><Relationship Id="rId56" Type="http://schemas.openxmlformats.org/officeDocument/2006/relationships/hyperlink" Target="https://leetcode.com/problems/kth-largest-element-in-an-array/description/" TargetMode="External"/><Relationship Id="rId57" Type="http://schemas.openxmlformats.org/officeDocument/2006/relationships/hyperlink" Target="https://leetcode.com/problems/top-k-frequent-elements/description/" TargetMode="External"/><Relationship Id="rId58" Type="http://schemas.openxmlformats.org/officeDocument/2006/relationships/hyperlink" Target="https://leetcode.com/problems/kth-largest-element-in-a-stream/" TargetMode="External"/><Relationship Id="rId59" Type="http://schemas.openxmlformats.org/officeDocument/2006/relationships/hyperlink" Target="https://leetcode.com/problems/last-stone-weight/" TargetMode="External"/><Relationship Id="rId60" Type="http://schemas.openxmlformats.org/officeDocument/2006/relationships/hyperlink" Target="https://leetcode.com/problems/the-k-weakest-rows-in-a-matrix/description/" TargetMode="External"/><Relationship Id="rId61" Type="http://schemas.openxmlformats.org/officeDocument/2006/relationships/hyperlink" Target="https://leetcode.com/problems/kth-smallest-element-in-a-sorted-matrix/" TargetMode="External"/><Relationship Id="rId62" Type="http://schemas.openxmlformats.org/officeDocument/2006/relationships/hyperlink" Target="https://leetcode.com/problems/k-closest-points-to-origin" TargetMode="External"/><Relationship Id="rId63" Type="http://schemas.openxmlformats.org/officeDocument/2006/relationships/hyperlink" Target="https://leetcode.com/problems/minimum-cost-to-connect-sticks" TargetMode="External"/><Relationship Id="rId64" Type="http://schemas.openxmlformats.org/officeDocument/2006/relationships/hyperlink" Target="https://leetcode.com/problems/furthest-building-you-can-reach" TargetMode="External"/><Relationship Id="rId65" Type="http://schemas.openxmlformats.org/officeDocument/2006/relationships/hyperlink" Target="https://leetcode.com/problems/sqrtx/description/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notion.so/C-plus-plus-1546a5e1c06880609895ff8e2458f2ad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geeksforgeeks.org/dsa/inversion-count-in-array-using-merge-sort/" TargetMode="External"/><Relationship Id="rId2" Type="http://schemas.openxmlformats.org/officeDocument/2006/relationships/hyperlink" Target="https://www.geeksforgeeks.org/dsa/count-number-subarrays-given-xor/" TargetMode="External"/><Relationship Id="rId3" Type="http://schemas.openxmlformats.org/officeDocument/2006/relationships/hyperlink" Target="https://www.geeksforgeeks.org/maximum-number-meetings-in-one-room/" TargetMode="External"/><Relationship Id="rId4" Type="http://schemas.openxmlformats.org/officeDocument/2006/relationships/hyperlink" Target="https://www.geeksforgeeks.org/job-sequencing-problem/" TargetMode="External"/><Relationship Id="rId5" Type="http://schemas.openxmlformats.org/officeDocument/2006/relationships/hyperlink" Target="https://www.geeksforgeeks.org/fractional-knapsack-problem/" TargetMode="External"/><Relationship Id="rId6" Type="http://schemas.openxmlformats.org/officeDocument/2006/relationships/hyperlink" Target="https://www.geeksforgeeks.org/subset-sum-problem-dp-25/" TargetMode="External"/><Relationship Id="rId7" Type="http://schemas.openxmlformats.org/officeDocument/2006/relationships/hyperlink" Target="https://www.geeksforgeeks.org/m-coloring-problem-backtracking-5/" TargetMode="External"/><Relationship Id="rId8" Type="http://schemas.openxmlformats.org/officeDocument/2006/relationships/hyperlink" Target="https://www.geeksforgeeks.org/rat-in-a-maze-backtracking-2/" TargetMode="External"/><Relationship Id="rId9" Type="http://schemas.openxmlformats.org/officeDocument/2006/relationships/hyperlink" Target="https://www.geeksforgeeks.org/nth-root-of-a-number/" TargetMode="External"/><Relationship Id="rId10" Type="http://schemas.openxmlformats.org/officeDocument/2006/relationships/hyperlink" Target="https://www.geeksforgeeks.org/find-median-row-wise-sorted-matrix/" TargetMode="External"/><Relationship Id="rId11" Type="http://schemas.openxmlformats.org/officeDocument/2006/relationships/hyperlink" Target="https://www.geeksforgeeks.org/dsa/convert-min-heap-to-max-heap/" TargetMode="External"/><Relationship Id="rId12" Type="http://schemas.openxmlformats.org/officeDocument/2006/relationships/hyperlink" Target="https://www.geeksforgeeks.org/k-maximum-sum-combinations-two-arrays/" TargetMode="External"/><Relationship Id="rId13" Type="http://schemas.openxmlformats.org/officeDocument/2006/relationships/hyperlink" Target="https://www.geeksforgeeks.org/dsa/implement-stack-using-array/" TargetMode="External"/><Relationship Id="rId14" Type="http://schemas.openxmlformats.org/officeDocument/2006/relationships/hyperlink" Target="https://www.geeksforgeeks.org/dsa/array-implementation-of-queue-simple/" TargetMode="External"/><Relationship Id="rId15" Type="http://schemas.openxmlformats.org/officeDocument/2006/relationships/hyperlink" Target="https://www.geeksforgeeks.org/dsa/next-smaller-element" TargetMode="External"/><Relationship Id="rId16" Type="http://schemas.openxmlformats.org/officeDocument/2006/relationships/hyperlink" Target="https://www.geeksforgeeks.org/problems/maximum-of-minimum-for-every-window-size3453/1" TargetMode="External"/><Relationship Id="rId17" Type="http://schemas.openxmlformats.org/officeDocument/2006/relationships/hyperlink" Target="https://www.geeksforgeeks.org/dsa/print-nodes-top-view-binary-tree/" TargetMode="External"/><Relationship Id="rId18" Type="http://schemas.openxmlformats.org/officeDocument/2006/relationships/hyperlink" Target="https://www.geeksforgeeks.org/problems/bottom-view-of-binary-tree/1" TargetMode="External"/><Relationship Id="rId19" Type="http://schemas.openxmlformats.org/officeDocument/2006/relationships/hyperlink" Target="https://www.geeksforgeeks.org/dsa/morris-traversal-for-preorder/" TargetMode="External"/><Relationship Id="rId20" Type="http://schemas.openxmlformats.org/officeDocument/2006/relationships/hyperlink" Target="https://www.geeksforgeeks.org/dsa/check-for-children-sum-property-in-a-binary-tree/" TargetMode="External"/><Relationship Id="rId21" Type="http://schemas.openxmlformats.org/officeDocument/2006/relationships/hyperlink" Target="https://www.geeksforgeeks.org/dsa/inorder-predecessor-successor-given-key-bst/" TargetMode="External"/><Relationship Id="rId22" Type="http://schemas.openxmlformats.org/officeDocument/2006/relationships/hyperlink" Target="https://www.geeksforgeeks.org/dsa/floor-and-ceil-from-a-bst/" TargetMode="External"/><Relationship Id="rId23" Type="http://schemas.openxmlformats.org/officeDocument/2006/relationships/hyperlink" Target="https://www.geeksforgeeks.org/dsa/count-distinct-elements-in-every-window-of-size-k/" TargetMode="External"/><Relationship Id="rId24" Type="http://schemas.openxmlformats.org/officeDocument/2006/relationships/hyperlink" Target="https://www.geeksforgeeks.org/depth-first-search-or-dfs-for-a-graph/" TargetMode="External"/><Relationship Id="rId25" Type="http://schemas.openxmlformats.org/officeDocument/2006/relationships/hyperlink" Target="https://www.geeksforgeeks.org/dsa/dijkstras-shortest-path-algorithm-greedy-algo-7/" TargetMode="External"/><Relationship Id="rId26" Type="http://schemas.openxmlformats.org/officeDocument/2006/relationships/hyperlink" Target="https://www.geeksforgeeks.org/problems/implementing-floyd-warshall2042/1" TargetMode="External"/><Relationship Id="rId27" Type="http://schemas.openxmlformats.org/officeDocument/2006/relationships/hyperlink" Target="https://www.geeksforgeeks.org/problems/minimum-spanning-tree/1" TargetMode="External"/><Relationship Id="rId28" Type="http://schemas.openxmlformats.org/officeDocument/2006/relationships/hyperlink" Target="https://www.geeksforgeeks.org/matrix-chain-multiplication-dp-8/" TargetMode="External"/><Relationship Id="rId29" Type="http://schemas.openxmlformats.org/officeDocument/2006/relationships/hyperlink" Target="https://www.geeksforgeeks.org/dsa/0-1-knapsack-problem-dp-10/" TargetMode="External"/><Relationship Id="rId30" Type="http://schemas.openxmlformats.org/officeDocument/2006/relationships/hyperlink" Target="https://www.geeksforgeeks.org/problems/weighted-job-scheduling/1" TargetMode="External"/><Relationship Id="rId31" Type="http://schemas.openxmlformats.org/officeDocument/2006/relationships/hyperlink" Target="https://www.geeksforgeeks.org/problems/trie-insert-and-search/1" TargetMode="External"/><Relationship Id="rId32" Type="http://schemas.openxmlformats.org/officeDocument/2006/relationships/hyperlink" Target="https://www.geeksforgeeks.org/problems/longest-valid-word-with-all-prefixes/1" TargetMode="External"/><Relationship Id="rId33" Type="http://schemas.openxmlformats.org/officeDocument/2006/relationships/hyperlink" Target="https://www.geeksforgeeks.org/longest-word-in-dictionary/" TargetMode="External"/><Relationship Id="rId34" Type="http://schemas.openxmlformats.org/officeDocument/2006/relationships/drawing" Target="../drawings/drawing1.xml"/><Relationship Id="rId35" Type="http://schemas.openxmlformats.org/officeDocument/2006/relationships/vmlDrawing" Target="../drawings/vmlDrawing1.vml"/><Relationship Id="rId36" Type="http://schemas.openxmlformats.org/officeDocument/2006/relationships/ctrlProp" Target="../ctrlProps/ctrlProps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flatten-a-multilevel-doubly-linked-list" TargetMode="External"/><Relationship Id="rId2" Type="http://schemas.openxmlformats.org/officeDocument/2006/relationships/hyperlink" Target="https://leetcode.com/problems/palindrome-linked-list" TargetMode="External"/><Relationship Id="rId3" Type="http://schemas.openxmlformats.org/officeDocument/2006/relationships/hyperlink" Target="https://leetcode.com/problems/merge-two-sorted-lists" TargetMode="External"/><Relationship Id="rId4" Type="http://schemas.openxmlformats.org/officeDocument/2006/relationships/hyperlink" Target="https://leetcode.com/problems/copy-list-with-random-pointer" TargetMode="External"/><Relationship Id="rId5" Type="http://schemas.openxmlformats.org/officeDocument/2006/relationships/hyperlink" Target="https://leetcode.com/problems/pascals-triangle" TargetMode="External"/><Relationship Id="rId6" Type="http://schemas.openxmlformats.org/officeDocument/2006/relationships/hyperlink" Target="https://leetcode.com/problems/find-the-index-of-the-first-occurrence-in-a-string" TargetMode="External"/><Relationship Id="rId7" Type="http://schemas.openxmlformats.org/officeDocument/2006/relationships/hyperlink" Target="https://leetcode.com/problems/find-the-index-of-the-first-occurrence-in-a-string" TargetMode="External"/><Relationship Id="rId8" Type="http://schemas.openxmlformats.org/officeDocument/2006/relationships/hyperlink" Target="https://leetcode.com/problems/longest-common-prefix" TargetMode="External"/><Relationship Id="rId9" Type="http://schemas.openxmlformats.org/officeDocument/2006/relationships/hyperlink" Target="https://leetcode.com/problems/valid-sudoku/" TargetMode="External"/><Relationship Id="rId10" Type="http://schemas.openxmlformats.org/officeDocument/2006/relationships/hyperlink" Target="https://leetcode.com/problems/find-duplicate-subtrees/" TargetMode="External"/><Relationship Id="rId11" Type="http://schemas.openxmlformats.org/officeDocument/2006/relationships/hyperlink" Target="https://leetcode.com/problems/4sum-ii" TargetMode="External"/><Relationship Id="rId12" Type="http://schemas.openxmlformats.org/officeDocument/2006/relationships/hyperlink" Target="https://leetcode.com/problems/top-k-frequent-element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2.81"/>
    <col collapsed="false" customWidth="true" hidden="false" outlineLevel="0" max="3" min="3" style="1" width="16.12"/>
    <col collapsed="false" customWidth="false" hidden="false" outlineLevel="0" max="4" min="4" style="2" width="11.53"/>
    <col collapsed="false" customWidth="true" hidden="false" outlineLevel="0" max="5" min="5" style="3" width="28.66"/>
    <col collapsed="false" customWidth="true" hidden="false" outlineLevel="0" max="6" min="6" style="3" width="57.33"/>
    <col collapsed="false" customWidth="false" hidden="false" outlineLevel="0" max="7" min="7" style="1" width="11.53"/>
    <col collapsed="false" customWidth="false" hidden="false" outlineLevel="0" max="12" min="8" style="2" width="11.53"/>
  </cols>
  <sheetData>
    <row r="1" customFormat="false" ht="15" hidden="false" customHeight="false" outlineLevel="0" collapsed="false">
      <c r="A1" s="4"/>
      <c r="B1" s="5" t="s">
        <v>0</v>
      </c>
      <c r="C1" s="5"/>
      <c r="D1" s="6"/>
      <c r="E1" s="7"/>
      <c r="F1" s="7"/>
      <c r="G1" s="6"/>
      <c r="H1" s="6"/>
      <c r="I1" s="6"/>
      <c r="J1" s="6"/>
      <c r="K1" s="8"/>
      <c r="L1" s="8"/>
    </row>
    <row r="2" customFormat="false" ht="15.65" hidden="false" customHeight="false" outlineLevel="0" collapsed="false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</row>
    <row r="3" customFormat="false" ht="12.8" hidden="false" customHeight="false" outlineLevel="0" collapsed="false">
      <c r="A3" s="10" t="n">
        <f aca="false">ROW()-2</f>
        <v>1</v>
      </c>
      <c r="B3" s="11" t="s">
        <v>13</v>
      </c>
      <c r="C3" s="12" t="s">
        <v>14</v>
      </c>
      <c r="D3" s="13" t="n">
        <v>45867</v>
      </c>
      <c r="E3" s="14" t="s">
        <v>15</v>
      </c>
      <c r="F3" s="15" t="s">
        <v>16</v>
      </c>
      <c r="G3" s="16" t="s">
        <v>17</v>
      </c>
      <c r="H3" s="13" t="n">
        <f aca="false">D3+2</f>
        <v>45869</v>
      </c>
      <c r="I3" s="13" t="n">
        <f aca="false">D3+7</f>
        <v>45874</v>
      </c>
      <c r="J3" s="17" t="n">
        <f aca="false">D3+21</f>
        <v>45888</v>
      </c>
      <c r="K3" s="17" t="n">
        <f aca="false">D3+45</f>
        <v>45912</v>
      </c>
      <c r="L3" s="18" t="n">
        <f aca="false">D3+60</f>
        <v>45927</v>
      </c>
      <c r="M3" s="19"/>
    </row>
    <row r="4" customFormat="false" ht="12.8" hidden="false" customHeight="false" outlineLevel="0" collapsed="false">
      <c r="A4" s="10" t="n">
        <f aca="false">ROW()-2</f>
        <v>2</v>
      </c>
      <c r="B4" s="20" t="s">
        <v>18</v>
      </c>
      <c r="C4" s="12" t="s">
        <v>14</v>
      </c>
      <c r="D4" s="13" t="n">
        <v>45868</v>
      </c>
      <c r="E4" s="14" t="s">
        <v>19</v>
      </c>
      <c r="F4" s="15" t="s">
        <v>20</v>
      </c>
      <c r="G4" s="16" t="s">
        <v>17</v>
      </c>
      <c r="H4" s="13" t="n">
        <f aca="false">D4+2</f>
        <v>45870</v>
      </c>
      <c r="I4" s="13" t="n">
        <f aca="false">D4+7</f>
        <v>45875</v>
      </c>
      <c r="J4" s="17" t="n">
        <f aca="false">D4+21</f>
        <v>45889</v>
      </c>
      <c r="K4" s="17" t="n">
        <f aca="false">D4+45</f>
        <v>45913</v>
      </c>
      <c r="L4" s="18" t="n">
        <f aca="false">D4+60</f>
        <v>45928</v>
      </c>
    </row>
    <row r="5" customFormat="false" ht="12.8" hidden="false" customHeight="false" outlineLevel="0" collapsed="false">
      <c r="A5" s="10" t="n">
        <f aca="false">ROW()-2</f>
        <v>3</v>
      </c>
      <c r="B5" s="20" t="s">
        <v>21</v>
      </c>
      <c r="C5" s="12" t="s">
        <v>14</v>
      </c>
      <c r="D5" s="13" t="n">
        <v>45868</v>
      </c>
      <c r="E5" s="14" t="s">
        <v>22</v>
      </c>
      <c r="F5" s="15" t="s">
        <v>23</v>
      </c>
      <c r="G5" s="16" t="s">
        <v>24</v>
      </c>
      <c r="H5" s="13" t="n">
        <f aca="false">D5+2</f>
        <v>45870</v>
      </c>
      <c r="I5" s="13" t="n">
        <f aca="false">D5+7</f>
        <v>45875</v>
      </c>
      <c r="J5" s="17" t="n">
        <f aca="false">D5+21</f>
        <v>45889</v>
      </c>
      <c r="K5" s="17" t="n">
        <f aca="false">D5+45</f>
        <v>45913</v>
      </c>
      <c r="L5" s="18" t="n">
        <f aca="false">D5+60</f>
        <v>45928</v>
      </c>
    </row>
    <row r="6" customFormat="false" ht="12.8" hidden="false" customHeight="false" outlineLevel="0" collapsed="false">
      <c r="A6" s="10" t="n">
        <f aca="false">ROW()-2</f>
        <v>4</v>
      </c>
      <c r="B6" s="11" t="s">
        <v>25</v>
      </c>
      <c r="C6" s="12" t="s">
        <v>14</v>
      </c>
      <c r="D6" s="13" t="n">
        <v>45868</v>
      </c>
      <c r="E6" s="17" t="s">
        <v>26</v>
      </c>
      <c r="F6" s="21" t="s">
        <v>27</v>
      </c>
      <c r="G6" s="16" t="s">
        <v>17</v>
      </c>
      <c r="H6" s="13" t="n">
        <f aca="false">D6+2</f>
        <v>45870</v>
      </c>
      <c r="I6" s="13" t="n">
        <f aca="false">D6+7</f>
        <v>45875</v>
      </c>
      <c r="J6" s="17" t="n">
        <f aca="false">D6+21</f>
        <v>45889</v>
      </c>
      <c r="K6" s="17" t="n">
        <f aca="false">D6+45</f>
        <v>45913</v>
      </c>
      <c r="L6" s="18" t="n">
        <f aca="false">D6+60</f>
        <v>45928</v>
      </c>
    </row>
    <row r="7" customFormat="false" ht="22.35" hidden="false" customHeight="true" outlineLevel="0" collapsed="false">
      <c r="A7" s="10" t="n">
        <f aca="false">ROW()-2</f>
        <v>5</v>
      </c>
      <c r="B7" s="22" t="s">
        <v>28</v>
      </c>
      <c r="C7" s="12" t="s">
        <v>29</v>
      </c>
      <c r="D7" s="13" t="n">
        <v>45868</v>
      </c>
      <c r="E7" s="23" t="s">
        <v>30</v>
      </c>
      <c r="F7" s="23" t="s">
        <v>31</v>
      </c>
      <c r="G7" s="16" t="s">
        <v>24</v>
      </c>
      <c r="H7" s="13" t="n">
        <f aca="false">D7+2</f>
        <v>45870</v>
      </c>
      <c r="I7" s="13" t="n">
        <f aca="false">D7+7</f>
        <v>45875</v>
      </c>
      <c r="J7" s="17" t="n">
        <f aca="false">D7+21</f>
        <v>45889</v>
      </c>
      <c r="K7" s="17" t="n">
        <f aca="false">D7+45</f>
        <v>45913</v>
      </c>
      <c r="L7" s="18" t="n">
        <f aca="false">D7+60</f>
        <v>45928</v>
      </c>
    </row>
    <row r="8" customFormat="false" ht="18.65" hidden="false" customHeight="true" outlineLevel="0" collapsed="false">
      <c r="A8" s="10" t="n">
        <f aca="false">ROW()-2</f>
        <v>6</v>
      </c>
      <c r="B8" s="11" t="s">
        <v>32</v>
      </c>
      <c r="C8" s="12" t="s">
        <v>14</v>
      </c>
      <c r="D8" s="13" t="n">
        <v>45868</v>
      </c>
      <c r="E8" s="24" t="s">
        <v>33</v>
      </c>
      <c r="F8" s="24" t="s">
        <v>34</v>
      </c>
      <c r="G8" s="16" t="s">
        <v>24</v>
      </c>
      <c r="H8" s="13" t="n">
        <f aca="false">D8+2</f>
        <v>45870</v>
      </c>
      <c r="I8" s="17" t="n">
        <f aca="false">D8+7</f>
        <v>45875</v>
      </c>
      <c r="J8" s="17" t="n">
        <f aca="false">D8+21</f>
        <v>45889</v>
      </c>
      <c r="K8" s="17" t="n">
        <f aca="false">D8+45</f>
        <v>45913</v>
      </c>
      <c r="L8" s="18" t="n">
        <f aca="false">D8+60</f>
        <v>45928</v>
      </c>
    </row>
    <row r="9" customFormat="false" ht="12.8" hidden="false" customHeight="false" outlineLevel="0" collapsed="false">
      <c r="A9" s="10" t="n">
        <f aca="false">ROW()-2</f>
        <v>7</v>
      </c>
      <c r="B9" s="11" t="s">
        <v>35</v>
      </c>
      <c r="C9" s="12" t="s">
        <v>29</v>
      </c>
      <c r="D9" s="17" t="n">
        <v>45884</v>
      </c>
      <c r="E9" s="25" t="s">
        <v>36</v>
      </c>
      <c r="F9" s="25" t="s">
        <v>37</v>
      </c>
      <c r="G9" s="16" t="s">
        <v>24</v>
      </c>
      <c r="H9" s="17"/>
      <c r="I9" s="17"/>
      <c r="J9" s="17"/>
      <c r="K9" s="17"/>
      <c r="L9" s="26"/>
    </row>
    <row r="10" customFormat="false" ht="12.8" hidden="false" customHeight="false" outlineLevel="0" collapsed="false">
      <c r="A10" s="10" t="n">
        <f aca="false">ROW()-2</f>
        <v>8</v>
      </c>
      <c r="B10" s="11"/>
      <c r="C10" s="12"/>
      <c r="D10" s="17"/>
      <c r="E10" s="25"/>
      <c r="F10" s="25"/>
      <c r="G10" s="16"/>
      <c r="H10" s="17"/>
      <c r="I10" s="17"/>
      <c r="J10" s="17"/>
      <c r="K10" s="17"/>
      <c r="L10" s="26"/>
    </row>
    <row r="11" customFormat="false" ht="12.8" hidden="false" customHeight="false" outlineLevel="0" collapsed="false">
      <c r="A11" s="10" t="n">
        <f aca="false">ROW()-2</f>
        <v>9</v>
      </c>
      <c r="B11" s="11"/>
      <c r="C11" s="12"/>
      <c r="D11" s="17"/>
      <c r="E11" s="25"/>
      <c r="F11" s="25"/>
      <c r="G11" s="16"/>
      <c r="H11" s="17"/>
      <c r="I11" s="17"/>
      <c r="J11" s="17"/>
      <c r="K11" s="17"/>
      <c r="L11" s="26"/>
    </row>
    <row r="12" customFormat="false" ht="12.8" hidden="false" customHeight="false" outlineLevel="0" collapsed="false">
      <c r="A12" s="10" t="n">
        <f aca="false">ROW()-2</f>
        <v>10</v>
      </c>
      <c r="B12" s="11"/>
      <c r="C12" s="12"/>
      <c r="D12" s="17"/>
      <c r="E12" s="25"/>
      <c r="F12" s="25"/>
      <c r="G12" s="16"/>
      <c r="H12" s="17"/>
      <c r="I12" s="17"/>
      <c r="J12" s="17"/>
      <c r="K12" s="17"/>
      <c r="L12" s="26"/>
    </row>
    <row r="13" customFormat="false" ht="12.8" hidden="false" customHeight="false" outlineLevel="0" collapsed="false">
      <c r="A13" s="27"/>
      <c r="B13" s="11"/>
      <c r="C13" s="12"/>
      <c r="D13" s="17"/>
      <c r="E13" s="25"/>
      <c r="F13" s="25"/>
      <c r="G13" s="16"/>
      <c r="H13" s="17"/>
      <c r="I13" s="17"/>
      <c r="J13" s="17"/>
      <c r="K13" s="17"/>
      <c r="L13" s="26"/>
    </row>
    <row r="14" customFormat="false" ht="12.8" hidden="false" customHeight="false" outlineLevel="0" collapsed="false">
      <c r="A14" s="27"/>
      <c r="B14" s="11"/>
      <c r="C14" s="12"/>
      <c r="D14" s="17"/>
      <c r="E14" s="25"/>
      <c r="F14" s="25"/>
      <c r="G14" s="16"/>
      <c r="H14" s="17"/>
      <c r="I14" s="17"/>
      <c r="J14" s="17"/>
      <c r="K14" s="17"/>
      <c r="L14" s="26"/>
    </row>
    <row r="15" customFormat="false" ht="12.8" hidden="false" customHeight="false" outlineLevel="0" collapsed="false">
      <c r="A15" s="27"/>
      <c r="B15" s="11"/>
      <c r="C15" s="12"/>
      <c r="D15" s="17"/>
      <c r="E15" s="25"/>
      <c r="F15" s="25"/>
      <c r="G15" s="16"/>
      <c r="H15" s="17"/>
      <c r="I15" s="17"/>
      <c r="J15" s="17"/>
      <c r="K15" s="17"/>
      <c r="L15" s="26"/>
    </row>
    <row r="16" customFormat="false" ht="12.8" hidden="false" customHeight="false" outlineLevel="0" collapsed="false">
      <c r="A16" s="27"/>
      <c r="B16" s="11"/>
      <c r="C16" s="12"/>
      <c r="D16" s="17"/>
      <c r="E16" s="25"/>
      <c r="F16" s="25"/>
      <c r="G16" s="16"/>
      <c r="H16" s="17"/>
      <c r="I16" s="17"/>
      <c r="J16" s="17"/>
      <c r="K16" s="17"/>
      <c r="L16" s="26"/>
    </row>
    <row r="17" customFormat="false" ht="12.8" hidden="false" customHeight="false" outlineLevel="0" collapsed="false">
      <c r="A17" s="27"/>
      <c r="B17" s="11"/>
      <c r="C17" s="12"/>
      <c r="D17" s="17"/>
      <c r="E17" s="25"/>
      <c r="F17" s="25"/>
      <c r="G17" s="16"/>
      <c r="H17" s="17"/>
      <c r="I17" s="17"/>
      <c r="J17" s="17"/>
      <c r="K17" s="17"/>
      <c r="L17" s="26"/>
    </row>
    <row r="18" customFormat="false" ht="12.8" hidden="false" customHeight="false" outlineLevel="0" collapsed="false">
      <c r="A18" s="27"/>
      <c r="B18" s="11"/>
      <c r="C18" s="12"/>
      <c r="D18" s="17"/>
      <c r="E18" s="25"/>
      <c r="F18" s="25"/>
      <c r="G18" s="16"/>
      <c r="H18" s="17"/>
      <c r="I18" s="17"/>
      <c r="J18" s="17"/>
      <c r="K18" s="17"/>
      <c r="L18" s="26"/>
    </row>
    <row r="19" customFormat="false" ht="12.8" hidden="false" customHeight="false" outlineLevel="0" collapsed="false">
      <c r="A19" s="27"/>
      <c r="B19" s="11"/>
      <c r="C19" s="12"/>
      <c r="D19" s="17"/>
      <c r="E19" s="25"/>
      <c r="F19" s="25"/>
      <c r="G19" s="16"/>
      <c r="H19" s="17"/>
      <c r="I19" s="17"/>
      <c r="J19" s="17"/>
      <c r="K19" s="17"/>
      <c r="L19" s="26"/>
    </row>
    <row r="20" customFormat="false" ht="12.8" hidden="false" customHeight="false" outlineLevel="0" collapsed="false">
      <c r="A20" s="27"/>
      <c r="B20" s="11"/>
      <c r="C20" s="12"/>
      <c r="D20" s="17"/>
      <c r="E20" s="25"/>
      <c r="F20" s="25"/>
      <c r="G20" s="16"/>
      <c r="H20" s="17"/>
      <c r="I20" s="17"/>
      <c r="J20" s="17"/>
      <c r="K20" s="17"/>
      <c r="L20" s="26"/>
    </row>
    <row r="21" customFormat="false" ht="12.8" hidden="false" customHeight="false" outlineLevel="0" collapsed="false">
      <c r="A21" s="27"/>
      <c r="B21" s="11"/>
      <c r="C21" s="12"/>
      <c r="D21" s="17"/>
      <c r="E21" s="25"/>
      <c r="F21" s="25"/>
      <c r="G21" s="16"/>
      <c r="H21" s="17"/>
      <c r="I21" s="17"/>
      <c r="J21" s="17"/>
      <c r="K21" s="17"/>
      <c r="L21" s="26"/>
    </row>
    <row r="22" customFormat="false" ht="12.8" hidden="false" customHeight="false" outlineLevel="0" collapsed="false">
      <c r="A22" s="27"/>
      <c r="B22" s="11"/>
      <c r="C22" s="12"/>
      <c r="D22" s="17"/>
      <c r="E22" s="25"/>
      <c r="F22" s="25"/>
      <c r="G22" s="16"/>
      <c r="H22" s="17"/>
      <c r="I22" s="17"/>
      <c r="J22" s="17"/>
      <c r="K22" s="17"/>
      <c r="L22" s="26"/>
    </row>
    <row r="23" customFormat="false" ht="12.8" hidden="false" customHeight="false" outlineLevel="0" collapsed="false">
      <c r="A23" s="27"/>
      <c r="B23" s="11"/>
      <c r="C23" s="12"/>
      <c r="D23" s="17"/>
      <c r="E23" s="25"/>
      <c r="F23" s="25"/>
      <c r="G23" s="16"/>
      <c r="H23" s="17"/>
      <c r="I23" s="17"/>
      <c r="J23" s="17"/>
      <c r="K23" s="17"/>
      <c r="L23" s="26"/>
    </row>
    <row r="24" customFormat="false" ht="12.8" hidden="false" customHeight="false" outlineLevel="0" collapsed="false">
      <c r="A24" s="27"/>
      <c r="B24" s="11"/>
      <c r="C24" s="12"/>
      <c r="D24" s="17"/>
      <c r="E24" s="25"/>
      <c r="F24" s="25"/>
      <c r="G24" s="16"/>
      <c r="H24" s="17"/>
      <c r="I24" s="17"/>
      <c r="J24" s="17"/>
      <c r="K24" s="17"/>
      <c r="L24" s="26"/>
    </row>
    <row r="25" customFormat="false" ht="12.8" hidden="false" customHeight="false" outlineLevel="0" collapsed="false">
      <c r="A25" s="27"/>
      <c r="B25" s="11"/>
      <c r="C25" s="12"/>
      <c r="D25" s="17"/>
      <c r="E25" s="25"/>
      <c r="F25" s="25"/>
      <c r="G25" s="16"/>
      <c r="H25" s="17"/>
      <c r="I25" s="17"/>
      <c r="J25" s="17"/>
      <c r="K25" s="17"/>
      <c r="L25" s="26"/>
    </row>
    <row r="26" customFormat="false" ht="12.8" hidden="false" customHeight="false" outlineLevel="0" collapsed="false">
      <c r="A26" s="27"/>
      <c r="B26" s="11"/>
      <c r="C26" s="12"/>
      <c r="D26" s="17"/>
      <c r="E26" s="25"/>
      <c r="F26" s="25"/>
      <c r="G26" s="16"/>
      <c r="H26" s="17"/>
      <c r="I26" s="17"/>
      <c r="J26" s="17"/>
      <c r="K26" s="17"/>
      <c r="L26" s="26"/>
    </row>
    <row r="27" customFormat="false" ht="12.8" hidden="false" customHeight="false" outlineLevel="0" collapsed="false">
      <c r="A27" s="27"/>
      <c r="B27" s="11"/>
      <c r="C27" s="12"/>
      <c r="D27" s="17"/>
      <c r="E27" s="25"/>
      <c r="F27" s="25"/>
      <c r="G27" s="16"/>
      <c r="H27" s="17"/>
      <c r="I27" s="17"/>
      <c r="J27" s="17"/>
      <c r="K27" s="17"/>
      <c r="L27" s="26"/>
    </row>
    <row r="28" customFormat="false" ht="12.8" hidden="false" customHeight="false" outlineLevel="0" collapsed="false">
      <c r="A28" s="27"/>
      <c r="B28" s="11"/>
      <c r="C28" s="12"/>
      <c r="D28" s="17"/>
      <c r="E28" s="25"/>
      <c r="F28" s="25"/>
      <c r="G28" s="16"/>
      <c r="H28" s="17"/>
      <c r="I28" s="17"/>
      <c r="J28" s="17"/>
      <c r="K28" s="17"/>
      <c r="L28" s="26"/>
    </row>
    <row r="29" customFormat="false" ht="12.8" hidden="false" customHeight="false" outlineLevel="0" collapsed="false">
      <c r="A29" s="27"/>
      <c r="B29" s="11"/>
      <c r="C29" s="12"/>
      <c r="D29" s="17"/>
      <c r="E29" s="25"/>
      <c r="F29" s="25"/>
      <c r="G29" s="16"/>
      <c r="H29" s="17"/>
      <c r="I29" s="17"/>
      <c r="J29" s="17"/>
      <c r="K29" s="17"/>
      <c r="L29" s="26"/>
    </row>
    <row r="30" customFormat="false" ht="12.8" hidden="false" customHeight="false" outlineLevel="0" collapsed="false">
      <c r="A30" s="27"/>
      <c r="B30" s="11"/>
      <c r="C30" s="12"/>
      <c r="D30" s="17"/>
      <c r="E30" s="25"/>
      <c r="F30" s="25"/>
      <c r="G30" s="16"/>
      <c r="H30" s="17"/>
      <c r="I30" s="17"/>
      <c r="J30" s="17"/>
      <c r="K30" s="17"/>
      <c r="L30" s="26"/>
    </row>
    <row r="31" customFormat="false" ht="12.8" hidden="false" customHeight="false" outlineLevel="0" collapsed="false">
      <c r="A31" s="27"/>
      <c r="B31" s="11"/>
      <c r="C31" s="12"/>
      <c r="D31" s="17"/>
      <c r="E31" s="25"/>
      <c r="F31" s="25"/>
      <c r="G31" s="16"/>
      <c r="H31" s="17"/>
      <c r="I31" s="17"/>
      <c r="J31" s="17"/>
      <c r="K31" s="17"/>
      <c r="L31" s="26"/>
    </row>
    <row r="32" customFormat="false" ht="12.8" hidden="false" customHeight="false" outlineLevel="0" collapsed="false">
      <c r="A32" s="27"/>
      <c r="B32" s="11"/>
      <c r="C32" s="12"/>
      <c r="D32" s="17"/>
      <c r="E32" s="25"/>
      <c r="F32" s="25"/>
      <c r="G32" s="16"/>
      <c r="H32" s="17"/>
      <c r="I32" s="17"/>
      <c r="J32" s="17"/>
      <c r="K32" s="17"/>
      <c r="L32" s="26"/>
    </row>
    <row r="33" customFormat="false" ht="12.8" hidden="false" customHeight="false" outlineLevel="0" collapsed="false">
      <c r="A33" s="27"/>
      <c r="B33" s="11"/>
      <c r="C33" s="12"/>
      <c r="D33" s="17"/>
      <c r="E33" s="25"/>
      <c r="F33" s="25"/>
      <c r="G33" s="16"/>
      <c r="H33" s="17"/>
      <c r="I33" s="17"/>
      <c r="J33" s="17"/>
      <c r="K33" s="17"/>
      <c r="L33" s="26"/>
    </row>
    <row r="34" customFormat="false" ht="12.8" hidden="false" customHeight="false" outlineLevel="0" collapsed="false">
      <c r="A34" s="27"/>
      <c r="B34" s="11"/>
      <c r="C34" s="12"/>
      <c r="D34" s="17"/>
      <c r="E34" s="25"/>
      <c r="F34" s="25"/>
      <c r="G34" s="16"/>
      <c r="H34" s="17"/>
      <c r="I34" s="17"/>
      <c r="J34" s="17"/>
      <c r="K34" s="17"/>
      <c r="L34" s="26"/>
    </row>
    <row r="35" customFormat="false" ht="12.8" hidden="false" customHeight="false" outlineLevel="0" collapsed="false">
      <c r="A35" s="27"/>
      <c r="B35" s="11"/>
      <c r="C35" s="12"/>
      <c r="D35" s="17"/>
      <c r="E35" s="25"/>
      <c r="F35" s="25"/>
      <c r="G35" s="16"/>
      <c r="H35" s="17"/>
      <c r="I35" s="17"/>
      <c r="J35" s="17"/>
      <c r="K35" s="17"/>
      <c r="L35" s="26"/>
    </row>
    <row r="36" customFormat="false" ht="12.8" hidden="false" customHeight="false" outlineLevel="0" collapsed="false">
      <c r="A36" s="27"/>
      <c r="B36" s="11"/>
      <c r="C36" s="12"/>
      <c r="D36" s="17"/>
      <c r="E36" s="25"/>
      <c r="F36" s="25"/>
      <c r="G36" s="16"/>
      <c r="H36" s="17"/>
      <c r="I36" s="17"/>
      <c r="J36" s="17"/>
      <c r="K36" s="17"/>
      <c r="L36" s="26"/>
    </row>
    <row r="37" customFormat="false" ht="12.8" hidden="false" customHeight="false" outlineLevel="0" collapsed="false">
      <c r="A37" s="27"/>
      <c r="B37" s="11"/>
      <c r="C37" s="12"/>
      <c r="D37" s="17"/>
      <c r="E37" s="25"/>
      <c r="F37" s="25"/>
      <c r="G37" s="16"/>
      <c r="H37" s="17"/>
      <c r="I37" s="17"/>
      <c r="J37" s="17"/>
      <c r="K37" s="17"/>
      <c r="L37" s="26"/>
    </row>
    <row r="38" customFormat="false" ht="12.8" hidden="false" customHeight="false" outlineLevel="0" collapsed="false">
      <c r="A38" s="27"/>
      <c r="B38" s="11"/>
      <c r="C38" s="12"/>
      <c r="D38" s="17"/>
      <c r="E38" s="25"/>
      <c r="F38" s="25"/>
      <c r="G38" s="16"/>
      <c r="H38" s="17"/>
      <c r="I38" s="17"/>
      <c r="J38" s="17"/>
      <c r="K38" s="17"/>
      <c r="L38" s="26"/>
    </row>
    <row r="39" customFormat="false" ht="12.8" hidden="false" customHeight="false" outlineLevel="0" collapsed="false">
      <c r="A39" s="27"/>
      <c r="B39" s="11"/>
      <c r="C39" s="12"/>
      <c r="D39" s="17"/>
      <c r="E39" s="25"/>
      <c r="F39" s="25"/>
      <c r="G39" s="16"/>
      <c r="H39" s="17"/>
      <c r="I39" s="17"/>
      <c r="J39" s="17"/>
      <c r="K39" s="17"/>
      <c r="L39" s="26"/>
    </row>
    <row r="40" customFormat="false" ht="12.8" hidden="false" customHeight="false" outlineLevel="0" collapsed="false">
      <c r="A40" s="27"/>
      <c r="B40" s="11"/>
      <c r="C40" s="12"/>
      <c r="D40" s="17"/>
      <c r="E40" s="25"/>
      <c r="F40" s="25"/>
      <c r="G40" s="16"/>
      <c r="H40" s="17"/>
      <c r="I40" s="17"/>
      <c r="J40" s="17"/>
      <c r="K40" s="17"/>
      <c r="L40" s="26"/>
    </row>
    <row r="41" customFormat="false" ht="12.8" hidden="false" customHeight="false" outlineLevel="0" collapsed="false">
      <c r="A41" s="27"/>
      <c r="B41" s="11"/>
      <c r="C41" s="12"/>
      <c r="D41" s="17"/>
      <c r="E41" s="25"/>
      <c r="F41" s="25"/>
      <c r="G41" s="16"/>
      <c r="H41" s="17"/>
      <c r="I41" s="17"/>
      <c r="J41" s="17"/>
      <c r="K41" s="17"/>
      <c r="L41" s="26"/>
    </row>
    <row r="42" customFormat="false" ht="12.8" hidden="false" customHeight="false" outlineLevel="0" collapsed="false">
      <c r="A42" s="27"/>
      <c r="B42" s="11"/>
      <c r="C42" s="12"/>
      <c r="D42" s="17"/>
      <c r="E42" s="25"/>
      <c r="F42" s="25"/>
      <c r="G42" s="16"/>
      <c r="H42" s="17"/>
      <c r="I42" s="17"/>
      <c r="J42" s="17"/>
      <c r="K42" s="17"/>
      <c r="L42" s="26"/>
    </row>
    <row r="43" customFormat="false" ht="12.8" hidden="false" customHeight="false" outlineLevel="0" collapsed="false">
      <c r="A43" s="27"/>
      <c r="B43" s="11"/>
      <c r="C43" s="12"/>
      <c r="D43" s="17"/>
      <c r="E43" s="25"/>
      <c r="F43" s="25"/>
      <c r="G43" s="16"/>
      <c r="H43" s="17"/>
      <c r="I43" s="17"/>
      <c r="J43" s="17"/>
      <c r="K43" s="17"/>
      <c r="L43" s="26"/>
    </row>
    <row r="44" customFormat="false" ht="12.8" hidden="false" customHeight="false" outlineLevel="0" collapsed="false">
      <c r="A44" s="27"/>
      <c r="B44" s="11"/>
      <c r="C44" s="12"/>
      <c r="D44" s="17"/>
      <c r="E44" s="25"/>
      <c r="F44" s="25"/>
      <c r="G44" s="16"/>
      <c r="H44" s="17"/>
      <c r="I44" s="17"/>
      <c r="J44" s="17"/>
      <c r="K44" s="17"/>
      <c r="L44" s="26"/>
    </row>
    <row r="45" customFormat="false" ht="12.8" hidden="false" customHeight="false" outlineLevel="0" collapsed="false">
      <c r="A45" s="27"/>
      <c r="B45" s="11"/>
      <c r="C45" s="12"/>
      <c r="D45" s="17"/>
      <c r="E45" s="25"/>
      <c r="F45" s="25"/>
      <c r="G45" s="16"/>
      <c r="H45" s="17"/>
      <c r="I45" s="17"/>
      <c r="J45" s="17"/>
      <c r="K45" s="17"/>
      <c r="L45" s="26"/>
    </row>
    <row r="46" customFormat="false" ht="12.8" hidden="false" customHeight="false" outlineLevel="0" collapsed="false">
      <c r="A46" s="27"/>
      <c r="B46" s="11"/>
      <c r="C46" s="12"/>
      <c r="D46" s="17"/>
      <c r="E46" s="25"/>
      <c r="F46" s="25"/>
      <c r="G46" s="16"/>
      <c r="H46" s="17"/>
      <c r="I46" s="17"/>
      <c r="J46" s="17"/>
      <c r="K46" s="17"/>
      <c r="L46" s="26"/>
    </row>
    <row r="47" customFormat="false" ht="12.8" hidden="false" customHeight="false" outlineLevel="0" collapsed="false">
      <c r="A47" s="27"/>
      <c r="B47" s="11"/>
      <c r="C47" s="12"/>
      <c r="D47" s="17"/>
      <c r="E47" s="25"/>
      <c r="F47" s="25"/>
      <c r="G47" s="16"/>
      <c r="H47" s="17"/>
      <c r="I47" s="17"/>
      <c r="J47" s="17"/>
      <c r="K47" s="17"/>
      <c r="L47" s="26"/>
    </row>
    <row r="48" customFormat="false" ht="12.8" hidden="false" customHeight="false" outlineLevel="0" collapsed="false">
      <c r="A48" s="27"/>
      <c r="B48" s="11"/>
      <c r="C48" s="12"/>
      <c r="D48" s="17"/>
      <c r="E48" s="25"/>
      <c r="F48" s="25"/>
      <c r="G48" s="16"/>
      <c r="H48" s="17"/>
      <c r="I48" s="17"/>
      <c r="J48" s="17"/>
      <c r="K48" s="17"/>
      <c r="L48" s="26"/>
    </row>
    <row r="49" customFormat="false" ht="12.8" hidden="false" customHeight="false" outlineLevel="0" collapsed="false">
      <c r="A49" s="27"/>
      <c r="B49" s="11"/>
      <c r="C49" s="12"/>
      <c r="D49" s="17"/>
      <c r="E49" s="25"/>
      <c r="F49" s="25"/>
      <c r="G49" s="16"/>
      <c r="H49" s="17"/>
      <c r="I49" s="17"/>
      <c r="J49" s="17"/>
      <c r="K49" s="17"/>
      <c r="L49" s="26"/>
    </row>
    <row r="50" customFormat="false" ht="12.8" hidden="false" customHeight="false" outlineLevel="0" collapsed="false">
      <c r="A50" s="27"/>
      <c r="B50" s="11"/>
      <c r="C50" s="12"/>
      <c r="D50" s="17"/>
      <c r="E50" s="25"/>
      <c r="F50" s="25"/>
      <c r="G50" s="16"/>
      <c r="H50" s="17"/>
      <c r="I50" s="17"/>
      <c r="J50" s="17"/>
      <c r="K50" s="17"/>
      <c r="L50" s="26"/>
    </row>
    <row r="51" customFormat="false" ht="12.8" hidden="false" customHeight="false" outlineLevel="0" collapsed="false">
      <c r="A51" s="27"/>
      <c r="B51" s="11"/>
      <c r="C51" s="12"/>
      <c r="D51" s="17"/>
      <c r="E51" s="25"/>
      <c r="F51" s="25"/>
      <c r="G51" s="16"/>
      <c r="H51" s="17"/>
      <c r="I51" s="17"/>
      <c r="J51" s="17"/>
      <c r="K51" s="17"/>
      <c r="L51" s="26"/>
    </row>
    <row r="52" customFormat="false" ht="12.8" hidden="false" customHeight="false" outlineLevel="0" collapsed="false">
      <c r="A52" s="27"/>
      <c r="B52" s="11"/>
      <c r="C52" s="12"/>
      <c r="D52" s="17"/>
      <c r="E52" s="25"/>
      <c r="F52" s="25"/>
      <c r="G52" s="16"/>
      <c r="H52" s="17"/>
      <c r="I52" s="17"/>
      <c r="J52" s="17"/>
      <c r="K52" s="17"/>
      <c r="L52" s="26"/>
    </row>
    <row r="53" customFormat="false" ht="12.8" hidden="false" customHeight="false" outlineLevel="0" collapsed="false">
      <c r="A53" s="27"/>
      <c r="B53" s="11"/>
      <c r="C53" s="12"/>
      <c r="D53" s="17"/>
      <c r="E53" s="25"/>
      <c r="F53" s="25"/>
      <c r="G53" s="16"/>
      <c r="H53" s="17"/>
      <c r="I53" s="17"/>
      <c r="J53" s="17"/>
      <c r="K53" s="17"/>
      <c r="L53" s="26"/>
    </row>
    <row r="54" customFormat="false" ht="12.8" hidden="false" customHeight="false" outlineLevel="0" collapsed="false">
      <c r="A54" s="27"/>
      <c r="B54" s="11"/>
      <c r="C54" s="12"/>
      <c r="D54" s="17"/>
      <c r="E54" s="25"/>
      <c r="F54" s="25"/>
      <c r="G54" s="16"/>
      <c r="H54" s="17"/>
      <c r="I54" s="17"/>
      <c r="J54" s="17"/>
      <c r="K54" s="17"/>
      <c r="L54" s="26"/>
    </row>
    <row r="55" customFormat="false" ht="12.8" hidden="false" customHeight="false" outlineLevel="0" collapsed="false">
      <c r="A55" s="27"/>
      <c r="B55" s="11"/>
      <c r="C55" s="12"/>
      <c r="D55" s="17"/>
      <c r="E55" s="25"/>
      <c r="F55" s="25"/>
      <c r="G55" s="16"/>
      <c r="H55" s="17"/>
      <c r="I55" s="17"/>
      <c r="J55" s="17"/>
      <c r="K55" s="17"/>
      <c r="L55" s="26"/>
    </row>
    <row r="56" customFormat="false" ht="12.8" hidden="false" customHeight="false" outlineLevel="0" collapsed="false">
      <c r="A56" s="27"/>
      <c r="B56" s="11"/>
      <c r="C56" s="12"/>
      <c r="D56" s="17"/>
      <c r="E56" s="25"/>
      <c r="F56" s="25"/>
      <c r="G56" s="16"/>
      <c r="H56" s="17"/>
      <c r="I56" s="17"/>
      <c r="J56" s="17"/>
      <c r="K56" s="17"/>
      <c r="L56" s="26"/>
    </row>
    <row r="57" customFormat="false" ht="12.8" hidden="false" customHeight="false" outlineLevel="0" collapsed="false">
      <c r="A57" s="27"/>
      <c r="B57" s="11"/>
      <c r="C57" s="12"/>
      <c r="D57" s="17"/>
      <c r="E57" s="25"/>
      <c r="F57" s="25"/>
      <c r="G57" s="16"/>
      <c r="H57" s="17"/>
      <c r="I57" s="17"/>
      <c r="J57" s="17"/>
      <c r="K57" s="17"/>
      <c r="L57" s="26"/>
    </row>
    <row r="58" customFormat="false" ht="12.8" hidden="false" customHeight="false" outlineLevel="0" collapsed="false">
      <c r="A58" s="27"/>
      <c r="B58" s="11"/>
      <c r="C58" s="12"/>
      <c r="D58" s="17"/>
      <c r="E58" s="25"/>
      <c r="F58" s="25"/>
      <c r="G58" s="16"/>
      <c r="H58" s="17"/>
      <c r="I58" s="17"/>
      <c r="J58" s="17"/>
      <c r="K58" s="17"/>
      <c r="L58" s="26"/>
    </row>
    <row r="59" customFormat="false" ht="12.8" hidden="false" customHeight="false" outlineLevel="0" collapsed="false">
      <c r="A59" s="27"/>
      <c r="B59" s="11"/>
      <c r="C59" s="12"/>
      <c r="D59" s="17"/>
      <c r="E59" s="25"/>
      <c r="F59" s="25"/>
      <c r="G59" s="16"/>
      <c r="H59" s="17"/>
      <c r="I59" s="17"/>
      <c r="J59" s="17"/>
      <c r="K59" s="17"/>
      <c r="L59" s="26"/>
    </row>
    <row r="60" customFormat="false" ht="12.8" hidden="false" customHeight="false" outlineLevel="0" collapsed="false">
      <c r="A60" s="27"/>
      <c r="B60" s="11"/>
      <c r="C60" s="12"/>
      <c r="D60" s="17"/>
      <c r="E60" s="25"/>
      <c r="F60" s="25"/>
      <c r="G60" s="16"/>
      <c r="H60" s="17"/>
      <c r="I60" s="17"/>
      <c r="J60" s="17"/>
      <c r="K60" s="17"/>
      <c r="L60" s="26"/>
    </row>
    <row r="61" customFormat="false" ht="12.8" hidden="false" customHeight="false" outlineLevel="0" collapsed="false">
      <c r="A61" s="27"/>
      <c r="B61" s="11"/>
      <c r="C61" s="12"/>
      <c r="D61" s="17"/>
      <c r="E61" s="25"/>
      <c r="F61" s="25"/>
      <c r="G61" s="16"/>
      <c r="H61" s="17"/>
      <c r="I61" s="17"/>
      <c r="J61" s="17"/>
      <c r="K61" s="17"/>
      <c r="L61" s="26"/>
    </row>
    <row r="62" customFormat="false" ht="12.8" hidden="false" customHeight="false" outlineLevel="0" collapsed="false">
      <c r="A62" s="27"/>
      <c r="B62" s="11"/>
      <c r="C62" s="12"/>
      <c r="D62" s="17"/>
      <c r="E62" s="25"/>
      <c r="F62" s="25"/>
      <c r="G62" s="16"/>
      <c r="H62" s="17"/>
      <c r="I62" s="17"/>
      <c r="J62" s="17"/>
      <c r="K62" s="17"/>
      <c r="L62" s="26"/>
    </row>
    <row r="63" customFormat="false" ht="12.8" hidden="false" customHeight="false" outlineLevel="0" collapsed="false">
      <c r="A63" s="27"/>
      <c r="B63" s="11"/>
      <c r="C63" s="12"/>
      <c r="D63" s="17"/>
      <c r="E63" s="25"/>
      <c r="F63" s="25"/>
      <c r="G63" s="16"/>
      <c r="H63" s="17"/>
      <c r="I63" s="17"/>
      <c r="J63" s="17"/>
      <c r="K63" s="17"/>
      <c r="L63" s="26"/>
    </row>
    <row r="64" customFormat="false" ht="12.8" hidden="false" customHeight="false" outlineLevel="0" collapsed="false">
      <c r="A64" s="27"/>
      <c r="B64" s="11"/>
      <c r="C64" s="12"/>
      <c r="D64" s="17"/>
      <c r="E64" s="25"/>
      <c r="F64" s="25"/>
      <c r="G64" s="16"/>
      <c r="H64" s="17"/>
      <c r="I64" s="17"/>
      <c r="J64" s="17"/>
      <c r="K64" s="17"/>
      <c r="L64" s="26"/>
    </row>
    <row r="65" customFormat="false" ht="12.8" hidden="false" customHeight="false" outlineLevel="0" collapsed="false">
      <c r="A65" s="27"/>
      <c r="B65" s="11"/>
      <c r="C65" s="12"/>
      <c r="D65" s="17"/>
      <c r="E65" s="25"/>
      <c r="F65" s="25"/>
      <c r="G65" s="16"/>
      <c r="H65" s="17"/>
      <c r="I65" s="17"/>
      <c r="J65" s="17"/>
      <c r="K65" s="17"/>
      <c r="L65" s="26"/>
    </row>
    <row r="66" customFormat="false" ht="12.8" hidden="false" customHeight="false" outlineLevel="0" collapsed="false">
      <c r="A66" s="27"/>
      <c r="B66" s="11"/>
      <c r="C66" s="12"/>
      <c r="D66" s="17"/>
      <c r="E66" s="25"/>
      <c r="F66" s="25"/>
      <c r="G66" s="16"/>
      <c r="H66" s="17"/>
      <c r="I66" s="17"/>
      <c r="J66" s="17"/>
      <c r="K66" s="17"/>
      <c r="L66" s="26"/>
    </row>
    <row r="67" customFormat="false" ht="12.8" hidden="false" customHeight="false" outlineLevel="0" collapsed="false">
      <c r="A67" s="27"/>
      <c r="B67" s="11"/>
      <c r="C67" s="12"/>
      <c r="D67" s="17"/>
      <c r="E67" s="25"/>
      <c r="F67" s="25"/>
      <c r="G67" s="16"/>
      <c r="H67" s="17"/>
      <c r="I67" s="17"/>
      <c r="J67" s="17"/>
      <c r="K67" s="17"/>
      <c r="L67" s="26"/>
    </row>
    <row r="68" customFormat="false" ht="12.8" hidden="false" customHeight="false" outlineLevel="0" collapsed="false">
      <c r="A68" s="27"/>
      <c r="B68" s="11"/>
      <c r="C68" s="12"/>
      <c r="D68" s="17"/>
      <c r="E68" s="25"/>
      <c r="F68" s="25"/>
      <c r="G68" s="16"/>
      <c r="H68" s="17"/>
      <c r="I68" s="17"/>
      <c r="J68" s="17"/>
      <c r="K68" s="17"/>
      <c r="L68" s="26"/>
    </row>
    <row r="69" customFormat="false" ht="12.8" hidden="false" customHeight="false" outlineLevel="0" collapsed="false">
      <c r="A69" s="27"/>
      <c r="B69" s="11"/>
      <c r="C69" s="12"/>
      <c r="D69" s="17"/>
      <c r="E69" s="25"/>
      <c r="F69" s="25"/>
      <c r="G69" s="16"/>
      <c r="H69" s="17"/>
      <c r="I69" s="17"/>
      <c r="J69" s="17"/>
      <c r="K69" s="17"/>
      <c r="L69" s="26"/>
    </row>
    <row r="70" customFormat="false" ht="12.8" hidden="false" customHeight="false" outlineLevel="0" collapsed="false">
      <c r="A70" s="27"/>
      <c r="B70" s="11"/>
      <c r="C70" s="12"/>
      <c r="D70" s="17"/>
      <c r="E70" s="25"/>
      <c r="F70" s="25"/>
      <c r="G70" s="16"/>
      <c r="H70" s="17"/>
      <c r="I70" s="17"/>
      <c r="J70" s="17"/>
      <c r="K70" s="17"/>
      <c r="L70" s="26"/>
    </row>
    <row r="71" customFormat="false" ht="12.8" hidden="false" customHeight="false" outlineLevel="0" collapsed="false">
      <c r="A71" s="27"/>
      <c r="B71" s="11"/>
      <c r="C71" s="12"/>
      <c r="D71" s="17"/>
      <c r="E71" s="25"/>
      <c r="F71" s="25"/>
      <c r="G71" s="16"/>
      <c r="H71" s="17"/>
      <c r="I71" s="17"/>
      <c r="J71" s="17"/>
      <c r="K71" s="17"/>
      <c r="L71" s="26"/>
    </row>
    <row r="72" customFormat="false" ht="12.8" hidden="false" customHeight="false" outlineLevel="0" collapsed="false">
      <c r="A72" s="27"/>
      <c r="B72" s="11"/>
      <c r="C72" s="12"/>
      <c r="D72" s="17"/>
      <c r="E72" s="25"/>
      <c r="F72" s="25"/>
      <c r="G72" s="16"/>
      <c r="H72" s="17"/>
      <c r="I72" s="17"/>
      <c r="J72" s="17"/>
      <c r="K72" s="17"/>
      <c r="L72" s="26"/>
    </row>
    <row r="73" customFormat="false" ht="12.8" hidden="false" customHeight="false" outlineLevel="0" collapsed="false">
      <c r="A73" s="27"/>
      <c r="B73" s="11"/>
      <c r="C73" s="12"/>
      <c r="D73" s="17"/>
      <c r="E73" s="25"/>
      <c r="F73" s="25"/>
      <c r="G73" s="16"/>
      <c r="H73" s="17"/>
      <c r="I73" s="17"/>
      <c r="J73" s="17"/>
      <c r="K73" s="17"/>
      <c r="L73" s="26"/>
    </row>
    <row r="74" customFormat="false" ht="12.8" hidden="false" customHeight="false" outlineLevel="0" collapsed="false">
      <c r="A74" s="27"/>
      <c r="B74" s="11"/>
      <c r="C74" s="12"/>
      <c r="D74" s="17"/>
      <c r="E74" s="25"/>
      <c r="F74" s="25"/>
      <c r="G74" s="16"/>
      <c r="H74" s="17"/>
      <c r="I74" s="17"/>
      <c r="J74" s="17"/>
      <c r="K74" s="17"/>
      <c r="L74" s="26"/>
    </row>
    <row r="75" customFormat="false" ht="12.8" hidden="false" customHeight="false" outlineLevel="0" collapsed="false">
      <c r="A75" s="27"/>
      <c r="B75" s="11"/>
      <c r="C75" s="12"/>
      <c r="D75" s="17"/>
      <c r="E75" s="25"/>
      <c r="F75" s="25"/>
      <c r="G75" s="16"/>
      <c r="H75" s="17"/>
      <c r="I75" s="17"/>
      <c r="J75" s="17"/>
      <c r="K75" s="17"/>
      <c r="L75" s="26"/>
    </row>
    <row r="76" customFormat="false" ht="12.8" hidden="false" customHeight="false" outlineLevel="0" collapsed="false">
      <c r="A76" s="27"/>
      <c r="B76" s="11"/>
      <c r="C76" s="12"/>
      <c r="D76" s="17"/>
      <c r="E76" s="25"/>
      <c r="F76" s="25"/>
      <c r="G76" s="16"/>
      <c r="H76" s="17"/>
      <c r="I76" s="17"/>
      <c r="J76" s="17"/>
      <c r="K76" s="17"/>
      <c r="L76" s="26"/>
    </row>
    <row r="77" customFormat="false" ht="12.8" hidden="false" customHeight="false" outlineLevel="0" collapsed="false">
      <c r="A77" s="27"/>
      <c r="B77" s="11"/>
      <c r="C77" s="12"/>
      <c r="D77" s="17"/>
      <c r="E77" s="25"/>
      <c r="F77" s="25"/>
      <c r="G77" s="16"/>
      <c r="H77" s="17"/>
      <c r="I77" s="17"/>
      <c r="J77" s="17"/>
      <c r="K77" s="17"/>
      <c r="L77" s="26"/>
    </row>
    <row r="78" customFormat="false" ht="12.8" hidden="false" customHeight="false" outlineLevel="0" collapsed="false">
      <c r="A78" s="27"/>
      <c r="B78" s="11"/>
      <c r="C78" s="12"/>
      <c r="D78" s="17"/>
      <c r="E78" s="25"/>
      <c r="F78" s="25"/>
      <c r="G78" s="16"/>
      <c r="H78" s="17"/>
      <c r="I78" s="17"/>
      <c r="J78" s="17"/>
      <c r="K78" s="17"/>
      <c r="L78" s="26"/>
    </row>
    <row r="79" customFormat="false" ht="12.8" hidden="false" customHeight="false" outlineLevel="0" collapsed="false">
      <c r="A79" s="27"/>
      <c r="B79" s="11"/>
      <c r="C79" s="12"/>
      <c r="D79" s="17"/>
      <c r="E79" s="25"/>
      <c r="F79" s="25"/>
      <c r="G79" s="16"/>
      <c r="H79" s="17"/>
      <c r="I79" s="17"/>
      <c r="J79" s="17"/>
      <c r="K79" s="17"/>
      <c r="L79" s="26"/>
    </row>
    <row r="80" customFormat="false" ht="12.8" hidden="false" customHeight="false" outlineLevel="0" collapsed="false">
      <c r="A80" s="27"/>
      <c r="B80" s="11"/>
      <c r="C80" s="12"/>
      <c r="D80" s="17"/>
      <c r="E80" s="25"/>
      <c r="F80" s="25"/>
      <c r="G80" s="16"/>
      <c r="H80" s="17"/>
      <c r="I80" s="17"/>
      <c r="J80" s="17"/>
      <c r="K80" s="17"/>
      <c r="L80" s="26"/>
    </row>
    <row r="81" customFormat="false" ht="12.8" hidden="false" customHeight="false" outlineLevel="0" collapsed="false">
      <c r="A81" s="27"/>
      <c r="B81" s="11"/>
      <c r="C81" s="12"/>
      <c r="D81" s="17"/>
      <c r="E81" s="25"/>
      <c r="F81" s="25"/>
      <c r="G81" s="16"/>
      <c r="H81" s="17"/>
      <c r="I81" s="17"/>
      <c r="J81" s="17"/>
      <c r="K81" s="17"/>
      <c r="L81" s="26"/>
    </row>
    <row r="82" customFormat="false" ht="12.8" hidden="false" customHeight="false" outlineLevel="0" collapsed="false">
      <c r="A82" s="27"/>
      <c r="B82" s="11"/>
      <c r="C82" s="12"/>
      <c r="D82" s="17"/>
      <c r="E82" s="25"/>
      <c r="F82" s="25"/>
      <c r="G82" s="16"/>
      <c r="H82" s="17"/>
      <c r="I82" s="17"/>
      <c r="J82" s="17"/>
      <c r="K82" s="17"/>
      <c r="L82" s="26"/>
    </row>
    <row r="83" customFormat="false" ht="12.8" hidden="false" customHeight="false" outlineLevel="0" collapsed="false">
      <c r="A83" s="27"/>
      <c r="B83" s="11"/>
      <c r="C83" s="12"/>
      <c r="D83" s="17"/>
      <c r="E83" s="25"/>
      <c r="F83" s="25"/>
      <c r="G83" s="16"/>
      <c r="H83" s="17"/>
      <c r="I83" s="17"/>
      <c r="J83" s="17"/>
      <c r="K83" s="17"/>
      <c r="L83" s="26"/>
    </row>
    <row r="84" customFormat="false" ht="12.8" hidden="false" customHeight="false" outlineLevel="0" collapsed="false">
      <c r="A84" s="27"/>
      <c r="B84" s="11"/>
      <c r="C84" s="12"/>
      <c r="D84" s="17"/>
      <c r="E84" s="25"/>
      <c r="F84" s="25"/>
      <c r="G84" s="16"/>
      <c r="H84" s="17"/>
      <c r="I84" s="17"/>
      <c r="J84" s="17"/>
      <c r="K84" s="17"/>
      <c r="L84" s="26"/>
    </row>
    <row r="85" customFormat="false" ht="12.8" hidden="false" customHeight="false" outlineLevel="0" collapsed="false">
      <c r="A85" s="27"/>
      <c r="B85" s="11"/>
      <c r="C85" s="12"/>
      <c r="D85" s="17"/>
      <c r="E85" s="25"/>
      <c r="F85" s="25"/>
      <c r="G85" s="16"/>
      <c r="H85" s="17"/>
      <c r="I85" s="17"/>
      <c r="J85" s="17"/>
      <c r="K85" s="17"/>
      <c r="L85" s="26"/>
    </row>
    <row r="86" customFormat="false" ht="12.8" hidden="false" customHeight="false" outlineLevel="0" collapsed="false">
      <c r="A86" s="27"/>
      <c r="B86" s="11"/>
      <c r="C86" s="12"/>
      <c r="D86" s="17"/>
      <c r="E86" s="25"/>
      <c r="F86" s="25"/>
      <c r="G86" s="16"/>
      <c r="H86" s="17"/>
      <c r="I86" s="17"/>
      <c r="J86" s="17"/>
      <c r="K86" s="17"/>
      <c r="L86" s="26"/>
    </row>
    <row r="87" customFormat="false" ht="12.8" hidden="false" customHeight="false" outlineLevel="0" collapsed="false">
      <c r="A87" s="27"/>
      <c r="B87" s="11"/>
      <c r="C87" s="12"/>
      <c r="D87" s="17"/>
      <c r="E87" s="25"/>
      <c r="F87" s="25"/>
      <c r="G87" s="16"/>
      <c r="H87" s="17"/>
      <c r="I87" s="17"/>
      <c r="J87" s="17"/>
      <c r="K87" s="17"/>
      <c r="L87" s="26"/>
    </row>
    <row r="88" customFormat="false" ht="12.8" hidden="false" customHeight="false" outlineLevel="0" collapsed="false">
      <c r="A88" s="27"/>
      <c r="B88" s="11"/>
      <c r="C88" s="12"/>
      <c r="D88" s="17"/>
      <c r="E88" s="25"/>
      <c r="F88" s="25"/>
      <c r="G88" s="16"/>
      <c r="H88" s="17"/>
      <c r="I88" s="17"/>
      <c r="J88" s="17"/>
      <c r="K88" s="17"/>
      <c r="L88" s="26"/>
    </row>
    <row r="89" customFormat="false" ht="12.8" hidden="false" customHeight="false" outlineLevel="0" collapsed="false">
      <c r="A89" s="27"/>
      <c r="B89" s="11"/>
      <c r="C89" s="12"/>
      <c r="D89" s="17"/>
      <c r="E89" s="25"/>
      <c r="F89" s="25"/>
      <c r="G89" s="16"/>
      <c r="H89" s="17"/>
      <c r="I89" s="17"/>
      <c r="J89" s="17"/>
      <c r="K89" s="17"/>
      <c r="L89" s="26"/>
    </row>
    <row r="90" customFormat="false" ht="12.8" hidden="false" customHeight="false" outlineLevel="0" collapsed="false">
      <c r="A90" s="27"/>
      <c r="B90" s="11"/>
      <c r="C90" s="12"/>
      <c r="D90" s="17"/>
      <c r="E90" s="25"/>
      <c r="F90" s="25"/>
      <c r="G90" s="16"/>
      <c r="H90" s="17"/>
      <c r="I90" s="17"/>
      <c r="J90" s="17"/>
      <c r="K90" s="17"/>
      <c r="L90" s="26"/>
    </row>
    <row r="91" customFormat="false" ht="12.8" hidden="false" customHeight="false" outlineLevel="0" collapsed="false">
      <c r="A91" s="27"/>
      <c r="B91" s="11"/>
      <c r="C91" s="12"/>
      <c r="D91" s="17"/>
      <c r="E91" s="25"/>
      <c r="F91" s="25"/>
      <c r="G91" s="16"/>
      <c r="H91" s="17"/>
      <c r="I91" s="17"/>
      <c r="J91" s="17"/>
      <c r="K91" s="17"/>
      <c r="L91" s="26"/>
    </row>
    <row r="92" customFormat="false" ht="12.8" hidden="false" customHeight="false" outlineLevel="0" collapsed="false">
      <c r="A92" s="27"/>
      <c r="B92" s="11"/>
      <c r="C92" s="12"/>
      <c r="D92" s="17"/>
      <c r="E92" s="25"/>
      <c r="F92" s="25"/>
      <c r="G92" s="16"/>
      <c r="H92" s="17"/>
      <c r="I92" s="17"/>
      <c r="J92" s="17"/>
      <c r="K92" s="17"/>
      <c r="L92" s="26"/>
    </row>
    <row r="93" customFormat="false" ht="12.8" hidden="false" customHeight="false" outlineLevel="0" collapsed="false">
      <c r="A93" s="27"/>
      <c r="B93" s="11"/>
      <c r="C93" s="12"/>
      <c r="D93" s="17"/>
      <c r="E93" s="25"/>
      <c r="F93" s="25"/>
      <c r="G93" s="16"/>
      <c r="H93" s="17"/>
      <c r="I93" s="17"/>
      <c r="J93" s="17"/>
      <c r="K93" s="17"/>
      <c r="L93" s="26"/>
    </row>
    <row r="94" customFormat="false" ht="12.8" hidden="false" customHeight="false" outlineLevel="0" collapsed="false">
      <c r="A94" s="27"/>
      <c r="B94" s="11"/>
      <c r="C94" s="12"/>
      <c r="D94" s="17"/>
      <c r="E94" s="25"/>
      <c r="F94" s="25"/>
      <c r="G94" s="16"/>
      <c r="H94" s="17"/>
      <c r="I94" s="17"/>
      <c r="J94" s="17"/>
      <c r="K94" s="17"/>
      <c r="L94" s="26"/>
    </row>
    <row r="95" customFormat="false" ht="12.8" hidden="false" customHeight="false" outlineLevel="0" collapsed="false">
      <c r="A95" s="27"/>
      <c r="B95" s="11"/>
      <c r="C95" s="12"/>
      <c r="D95" s="17"/>
      <c r="E95" s="25"/>
      <c r="F95" s="25"/>
      <c r="G95" s="16"/>
      <c r="H95" s="17"/>
      <c r="I95" s="17"/>
      <c r="J95" s="17"/>
      <c r="K95" s="17"/>
      <c r="L95" s="26"/>
    </row>
    <row r="96" customFormat="false" ht="12.8" hidden="false" customHeight="false" outlineLevel="0" collapsed="false">
      <c r="A96" s="27"/>
      <c r="B96" s="11"/>
      <c r="C96" s="12"/>
      <c r="D96" s="17"/>
      <c r="E96" s="25"/>
      <c r="F96" s="25"/>
      <c r="G96" s="16"/>
      <c r="H96" s="17"/>
      <c r="I96" s="17"/>
      <c r="J96" s="17"/>
      <c r="K96" s="17"/>
      <c r="L96" s="26"/>
    </row>
    <row r="97" customFormat="false" ht="12.8" hidden="false" customHeight="false" outlineLevel="0" collapsed="false">
      <c r="A97" s="27"/>
      <c r="B97" s="11"/>
      <c r="C97" s="12"/>
      <c r="D97" s="17"/>
      <c r="E97" s="25"/>
      <c r="F97" s="25"/>
      <c r="G97" s="16"/>
      <c r="H97" s="17"/>
      <c r="I97" s="17"/>
      <c r="J97" s="17"/>
      <c r="K97" s="17"/>
      <c r="L97" s="26"/>
    </row>
    <row r="98" customFormat="false" ht="12.8" hidden="false" customHeight="false" outlineLevel="0" collapsed="false">
      <c r="A98" s="27"/>
      <c r="B98" s="11"/>
      <c r="C98" s="12"/>
      <c r="D98" s="17"/>
      <c r="E98" s="25"/>
      <c r="F98" s="25"/>
      <c r="G98" s="16"/>
      <c r="H98" s="17"/>
      <c r="I98" s="17"/>
      <c r="J98" s="17"/>
      <c r="K98" s="17"/>
      <c r="L98" s="26"/>
    </row>
    <row r="99" customFormat="false" ht="12.8" hidden="false" customHeight="false" outlineLevel="0" collapsed="false">
      <c r="A99" s="27"/>
      <c r="B99" s="11"/>
      <c r="C99" s="12"/>
      <c r="D99" s="17"/>
      <c r="E99" s="25"/>
      <c r="F99" s="25"/>
      <c r="G99" s="16"/>
      <c r="H99" s="17"/>
      <c r="I99" s="17"/>
      <c r="J99" s="17"/>
      <c r="K99" s="17"/>
      <c r="L99" s="26"/>
    </row>
    <row r="100" customFormat="false" ht="12.8" hidden="false" customHeight="false" outlineLevel="0" collapsed="false">
      <c r="A100" s="27"/>
      <c r="B100" s="11"/>
      <c r="C100" s="12"/>
      <c r="D100" s="17"/>
      <c r="E100" s="25"/>
      <c r="F100" s="25"/>
      <c r="G100" s="16"/>
      <c r="H100" s="17"/>
      <c r="I100" s="17"/>
      <c r="J100" s="17"/>
      <c r="K100" s="17"/>
      <c r="L100" s="26"/>
    </row>
    <row r="101" customFormat="false" ht="12.8" hidden="false" customHeight="false" outlineLevel="0" collapsed="false">
      <c r="A101" s="27"/>
      <c r="B101" s="11"/>
      <c r="C101" s="12"/>
      <c r="D101" s="17"/>
      <c r="E101" s="25"/>
      <c r="F101" s="25"/>
      <c r="G101" s="16"/>
      <c r="H101" s="17"/>
      <c r="I101" s="17"/>
      <c r="J101" s="17"/>
      <c r="K101" s="17"/>
      <c r="L101" s="26"/>
    </row>
    <row r="102" customFormat="false" ht="12.8" hidden="false" customHeight="false" outlineLevel="0" collapsed="false">
      <c r="A102" s="27"/>
      <c r="B102" s="11"/>
      <c r="C102" s="12"/>
      <c r="D102" s="17"/>
      <c r="E102" s="25"/>
      <c r="F102" s="25"/>
      <c r="G102" s="16"/>
      <c r="H102" s="17"/>
      <c r="I102" s="17"/>
      <c r="J102" s="17"/>
      <c r="K102" s="17"/>
      <c r="L102" s="26"/>
    </row>
    <row r="103" customFormat="false" ht="12.8" hidden="false" customHeight="false" outlineLevel="0" collapsed="false">
      <c r="A103" s="27"/>
      <c r="B103" s="11"/>
      <c r="C103" s="12"/>
      <c r="D103" s="17"/>
      <c r="E103" s="25"/>
      <c r="F103" s="25"/>
      <c r="G103" s="16"/>
      <c r="H103" s="17"/>
      <c r="I103" s="17"/>
      <c r="J103" s="17"/>
      <c r="K103" s="17"/>
      <c r="L103" s="26"/>
    </row>
    <row r="104" customFormat="false" ht="12.8" hidden="false" customHeight="false" outlineLevel="0" collapsed="false">
      <c r="A104" s="27"/>
      <c r="B104" s="11"/>
      <c r="C104" s="12"/>
      <c r="D104" s="17"/>
      <c r="E104" s="25"/>
      <c r="F104" s="25"/>
      <c r="G104" s="16"/>
      <c r="H104" s="17"/>
      <c r="I104" s="17"/>
      <c r="J104" s="17"/>
      <c r="K104" s="17"/>
      <c r="L104" s="26"/>
    </row>
    <row r="105" customFormat="false" ht="12.8" hidden="false" customHeight="false" outlineLevel="0" collapsed="false">
      <c r="A105" s="27"/>
      <c r="B105" s="11"/>
      <c r="C105" s="12"/>
      <c r="D105" s="17"/>
      <c r="E105" s="25"/>
      <c r="F105" s="25"/>
      <c r="G105" s="16"/>
      <c r="H105" s="17"/>
      <c r="I105" s="17"/>
      <c r="J105" s="17"/>
      <c r="K105" s="17"/>
      <c r="L105" s="26"/>
    </row>
    <row r="106" customFormat="false" ht="12.8" hidden="false" customHeight="false" outlineLevel="0" collapsed="false">
      <c r="A106" s="27"/>
      <c r="B106" s="11"/>
      <c r="C106" s="12"/>
      <c r="D106" s="17"/>
      <c r="E106" s="25"/>
      <c r="F106" s="25"/>
      <c r="G106" s="16"/>
      <c r="H106" s="17"/>
      <c r="I106" s="17"/>
      <c r="J106" s="17"/>
      <c r="K106" s="17"/>
      <c r="L106" s="26"/>
    </row>
    <row r="107" customFormat="false" ht="12.8" hidden="false" customHeight="false" outlineLevel="0" collapsed="false">
      <c r="A107" s="27"/>
      <c r="B107" s="11"/>
      <c r="C107" s="12"/>
      <c r="D107" s="17"/>
      <c r="E107" s="25"/>
      <c r="F107" s="25"/>
      <c r="G107" s="16"/>
      <c r="H107" s="17"/>
      <c r="I107" s="17"/>
      <c r="J107" s="17"/>
      <c r="K107" s="17"/>
      <c r="L107" s="26"/>
    </row>
    <row r="108" customFormat="false" ht="12.8" hidden="false" customHeight="false" outlineLevel="0" collapsed="false">
      <c r="A108" s="27"/>
      <c r="B108" s="11"/>
      <c r="C108" s="12"/>
      <c r="D108" s="17"/>
      <c r="E108" s="25"/>
      <c r="F108" s="25"/>
      <c r="G108" s="16"/>
      <c r="H108" s="17"/>
      <c r="I108" s="17"/>
      <c r="J108" s="17"/>
      <c r="K108" s="17"/>
      <c r="L108" s="26"/>
    </row>
    <row r="109" customFormat="false" ht="12.8" hidden="false" customHeight="false" outlineLevel="0" collapsed="false">
      <c r="A109" s="27"/>
      <c r="B109" s="11"/>
      <c r="C109" s="12"/>
      <c r="D109" s="17"/>
      <c r="E109" s="25"/>
      <c r="F109" s="25"/>
      <c r="G109" s="16"/>
      <c r="H109" s="17"/>
      <c r="I109" s="17"/>
      <c r="J109" s="17"/>
      <c r="K109" s="17"/>
      <c r="L109" s="26"/>
    </row>
    <row r="110" customFormat="false" ht="12.8" hidden="false" customHeight="false" outlineLevel="0" collapsed="false">
      <c r="A110" s="27"/>
      <c r="B110" s="11"/>
      <c r="C110" s="12"/>
      <c r="D110" s="17"/>
      <c r="E110" s="25"/>
      <c r="F110" s="25"/>
      <c r="G110" s="16"/>
      <c r="H110" s="17"/>
      <c r="I110" s="17"/>
      <c r="J110" s="17"/>
      <c r="K110" s="17"/>
      <c r="L110" s="26"/>
    </row>
    <row r="111" customFormat="false" ht="12.8" hidden="false" customHeight="false" outlineLevel="0" collapsed="false">
      <c r="A111" s="27"/>
      <c r="B111" s="11"/>
      <c r="C111" s="12"/>
      <c r="D111" s="17"/>
      <c r="E111" s="25"/>
      <c r="F111" s="25"/>
      <c r="G111" s="16"/>
      <c r="H111" s="17"/>
      <c r="I111" s="17"/>
      <c r="J111" s="17"/>
      <c r="K111" s="17"/>
      <c r="L111" s="26"/>
    </row>
    <row r="112" customFormat="false" ht="12.8" hidden="false" customHeight="false" outlineLevel="0" collapsed="false">
      <c r="A112" s="27"/>
      <c r="B112" s="11"/>
      <c r="C112" s="12"/>
      <c r="D112" s="17"/>
      <c r="E112" s="25"/>
      <c r="F112" s="25"/>
      <c r="G112" s="16"/>
      <c r="H112" s="17"/>
      <c r="I112" s="17"/>
      <c r="J112" s="17"/>
      <c r="K112" s="17"/>
      <c r="L112" s="26"/>
    </row>
    <row r="113" customFormat="false" ht="12.8" hidden="false" customHeight="false" outlineLevel="0" collapsed="false">
      <c r="A113" s="27"/>
      <c r="B113" s="11"/>
      <c r="C113" s="12"/>
      <c r="D113" s="17"/>
      <c r="E113" s="25"/>
      <c r="F113" s="25"/>
      <c r="G113" s="16"/>
      <c r="H113" s="17"/>
      <c r="I113" s="17"/>
      <c r="J113" s="17"/>
      <c r="K113" s="17"/>
      <c r="L113" s="26"/>
    </row>
    <row r="114" customFormat="false" ht="12.8" hidden="false" customHeight="false" outlineLevel="0" collapsed="false">
      <c r="A114" s="27"/>
      <c r="B114" s="11"/>
      <c r="C114" s="12"/>
      <c r="D114" s="17"/>
      <c r="E114" s="25"/>
      <c r="F114" s="25"/>
      <c r="G114" s="16"/>
      <c r="H114" s="17"/>
      <c r="I114" s="17"/>
      <c r="J114" s="17"/>
      <c r="K114" s="17"/>
      <c r="L114" s="26"/>
    </row>
    <row r="115" customFormat="false" ht="12.8" hidden="false" customHeight="false" outlineLevel="0" collapsed="false">
      <c r="A115" s="27"/>
      <c r="B115" s="11"/>
      <c r="C115" s="12"/>
      <c r="D115" s="17"/>
      <c r="E115" s="25"/>
      <c r="F115" s="25"/>
      <c r="G115" s="16"/>
      <c r="H115" s="17"/>
      <c r="I115" s="17"/>
      <c r="J115" s="17"/>
      <c r="K115" s="17"/>
      <c r="L115" s="26"/>
    </row>
    <row r="116" customFormat="false" ht="12.8" hidden="false" customHeight="false" outlineLevel="0" collapsed="false">
      <c r="A116" s="27"/>
      <c r="B116" s="11"/>
      <c r="C116" s="12"/>
      <c r="D116" s="17"/>
      <c r="E116" s="25"/>
      <c r="F116" s="25"/>
      <c r="G116" s="16"/>
      <c r="H116" s="17"/>
      <c r="I116" s="17"/>
      <c r="J116" s="17"/>
      <c r="K116" s="17"/>
      <c r="L116" s="26"/>
    </row>
    <row r="117" customFormat="false" ht="12.8" hidden="false" customHeight="false" outlineLevel="0" collapsed="false">
      <c r="A117" s="27"/>
      <c r="B117" s="11"/>
      <c r="C117" s="12"/>
      <c r="D117" s="17"/>
      <c r="E117" s="25"/>
      <c r="F117" s="25"/>
      <c r="G117" s="16"/>
      <c r="H117" s="17"/>
      <c r="I117" s="17"/>
      <c r="J117" s="17"/>
      <c r="K117" s="17"/>
      <c r="L117" s="26"/>
    </row>
    <row r="118" customFormat="false" ht="12.8" hidden="false" customHeight="false" outlineLevel="0" collapsed="false">
      <c r="A118" s="27"/>
      <c r="B118" s="11"/>
      <c r="C118" s="12"/>
      <c r="D118" s="17"/>
      <c r="E118" s="25"/>
      <c r="F118" s="25"/>
      <c r="G118" s="16"/>
      <c r="H118" s="17"/>
      <c r="I118" s="17"/>
      <c r="J118" s="17"/>
      <c r="K118" s="17"/>
      <c r="L118" s="26"/>
    </row>
    <row r="119" customFormat="false" ht="12.8" hidden="false" customHeight="false" outlineLevel="0" collapsed="false">
      <c r="A119" s="27"/>
      <c r="B119" s="11"/>
      <c r="C119" s="12"/>
      <c r="D119" s="17"/>
      <c r="E119" s="25"/>
      <c r="F119" s="25"/>
      <c r="G119" s="16"/>
      <c r="H119" s="17"/>
      <c r="I119" s="17"/>
      <c r="J119" s="17"/>
      <c r="K119" s="17"/>
      <c r="L119" s="26"/>
    </row>
    <row r="120" customFormat="false" ht="12.8" hidden="false" customHeight="false" outlineLevel="0" collapsed="false">
      <c r="A120" s="27"/>
      <c r="B120" s="11"/>
      <c r="C120" s="12"/>
      <c r="D120" s="17"/>
      <c r="E120" s="25"/>
      <c r="F120" s="25"/>
      <c r="G120" s="16"/>
      <c r="H120" s="17"/>
      <c r="I120" s="17"/>
      <c r="J120" s="17"/>
      <c r="K120" s="17"/>
      <c r="L120" s="26"/>
    </row>
    <row r="121" customFormat="false" ht="12.8" hidden="false" customHeight="false" outlineLevel="0" collapsed="false">
      <c r="A121" s="27"/>
      <c r="B121" s="11"/>
      <c r="C121" s="12"/>
      <c r="D121" s="17"/>
      <c r="E121" s="25"/>
      <c r="F121" s="25"/>
      <c r="G121" s="16"/>
      <c r="H121" s="17"/>
      <c r="I121" s="17"/>
      <c r="J121" s="17"/>
      <c r="K121" s="17"/>
      <c r="L121" s="26"/>
    </row>
    <row r="122" customFormat="false" ht="12.8" hidden="false" customHeight="false" outlineLevel="0" collapsed="false">
      <c r="A122" s="27"/>
      <c r="B122" s="11"/>
      <c r="C122" s="12"/>
      <c r="D122" s="17"/>
      <c r="E122" s="25"/>
      <c r="F122" s="25"/>
      <c r="G122" s="16"/>
      <c r="H122" s="17"/>
      <c r="I122" s="17"/>
      <c r="J122" s="17"/>
      <c r="K122" s="17"/>
      <c r="L122" s="26"/>
    </row>
    <row r="123" customFormat="false" ht="12.8" hidden="false" customHeight="false" outlineLevel="0" collapsed="false">
      <c r="A123" s="27"/>
      <c r="B123" s="11"/>
      <c r="C123" s="12"/>
      <c r="D123" s="17"/>
      <c r="E123" s="25"/>
      <c r="F123" s="25"/>
      <c r="G123" s="16"/>
      <c r="H123" s="17"/>
      <c r="I123" s="17"/>
      <c r="J123" s="17"/>
      <c r="K123" s="17"/>
      <c r="L123" s="26"/>
    </row>
    <row r="124" customFormat="false" ht="12.8" hidden="false" customHeight="false" outlineLevel="0" collapsed="false">
      <c r="A124" s="27"/>
      <c r="B124" s="11"/>
      <c r="C124" s="12"/>
      <c r="D124" s="17"/>
      <c r="E124" s="25"/>
      <c r="F124" s="25"/>
      <c r="G124" s="16"/>
      <c r="H124" s="17"/>
      <c r="I124" s="17"/>
      <c r="J124" s="17"/>
      <c r="K124" s="17"/>
      <c r="L124" s="26"/>
    </row>
    <row r="125" customFormat="false" ht="12.8" hidden="false" customHeight="false" outlineLevel="0" collapsed="false">
      <c r="A125" s="27"/>
      <c r="B125" s="11"/>
      <c r="C125" s="12"/>
      <c r="D125" s="17"/>
      <c r="E125" s="25"/>
      <c r="F125" s="25"/>
      <c r="G125" s="16"/>
      <c r="H125" s="17"/>
      <c r="I125" s="17"/>
      <c r="J125" s="17"/>
      <c r="K125" s="17"/>
      <c r="L125" s="26"/>
    </row>
    <row r="126" customFormat="false" ht="12.8" hidden="false" customHeight="false" outlineLevel="0" collapsed="false">
      <c r="A126" s="27"/>
      <c r="B126" s="11"/>
      <c r="C126" s="12"/>
      <c r="D126" s="17"/>
      <c r="E126" s="25"/>
      <c r="F126" s="25"/>
      <c r="G126" s="16"/>
      <c r="H126" s="17"/>
      <c r="I126" s="17"/>
      <c r="J126" s="17"/>
      <c r="K126" s="17"/>
      <c r="L126" s="26"/>
    </row>
    <row r="127" customFormat="false" ht="12.8" hidden="false" customHeight="false" outlineLevel="0" collapsed="false">
      <c r="A127" s="27"/>
      <c r="B127" s="11"/>
      <c r="C127" s="12"/>
      <c r="D127" s="17"/>
      <c r="E127" s="25"/>
      <c r="F127" s="25"/>
      <c r="G127" s="16"/>
      <c r="H127" s="17"/>
      <c r="I127" s="17"/>
      <c r="J127" s="17"/>
      <c r="K127" s="17"/>
      <c r="L127" s="26"/>
    </row>
    <row r="128" customFormat="false" ht="12.8" hidden="false" customHeight="false" outlineLevel="0" collapsed="false">
      <c r="A128" s="27"/>
      <c r="B128" s="11"/>
      <c r="C128" s="12"/>
      <c r="D128" s="17"/>
      <c r="E128" s="25"/>
      <c r="F128" s="25"/>
      <c r="G128" s="16"/>
      <c r="H128" s="17"/>
      <c r="I128" s="17"/>
      <c r="J128" s="17"/>
      <c r="K128" s="17"/>
      <c r="L128" s="26"/>
    </row>
    <row r="129" customFormat="false" ht="12.8" hidden="false" customHeight="false" outlineLevel="0" collapsed="false">
      <c r="A129" s="27"/>
      <c r="B129" s="11"/>
      <c r="C129" s="12"/>
      <c r="D129" s="17"/>
      <c r="E129" s="25"/>
      <c r="F129" s="25"/>
      <c r="G129" s="16"/>
      <c r="H129" s="17"/>
      <c r="I129" s="17"/>
      <c r="J129" s="17"/>
      <c r="K129" s="17"/>
      <c r="L129" s="26"/>
    </row>
    <row r="130" customFormat="false" ht="12.8" hidden="false" customHeight="false" outlineLevel="0" collapsed="false">
      <c r="A130" s="27"/>
      <c r="B130" s="11"/>
      <c r="C130" s="12"/>
      <c r="D130" s="17"/>
      <c r="E130" s="25"/>
      <c r="F130" s="25"/>
      <c r="G130" s="16"/>
      <c r="H130" s="17"/>
      <c r="I130" s="17"/>
      <c r="J130" s="17"/>
      <c r="K130" s="17"/>
      <c r="L130" s="26"/>
    </row>
    <row r="131" customFormat="false" ht="12.8" hidden="false" customHeight="false" outlineLevel="0" collapsed="false">
      <c r="A131" s="27"/>
      <c r="B131" s="11"/>
      <c r="C131" s="12"/>
      <c r="D131" s="17"/>
      <c r="E131" s="25"/>
      <c r="F131" s="25"/>
      <c r="G131" s="16"/>
      <c r="H131" s="17"/>
      <c r="I131" s="17"/>
      <c r="J131" s="17"/>
      <c r="K131" s="17"/>
      <c r="L131" s="26"/>
    </row>
    <row r="132" customFormat="false" ht="12.8" hidden="false" customHeight="false" outlineLevel="0" collapsed="false">
      <c r="A132" s="27"/>
      <c r="B132" s="11"/>
      <c r="C132" s="12"/>
      <c r="D132" s="17"/>
      <c r="E132" s="25"/>
      <c r="F132" s="25"/>
      <c r="G132" s="16"/>
      <c r="H132" s="17"/>
      <c r="I132" s="17"/>
      <c r="J132" s="17"/>
      <c r="K132" s="17"/>
      <c r="L132" s="26"/>
    </row>
    <row r="133" customFormat="false" ht="12.8" hidden="false" customHeight="false" outlineLevel="0" collapsed="false">
      <c r="A133" s="27"/>
      <c r="B133" s="11"/>
      <c r="C133" s="12"/>
      <c r="D133" s="17"/>
      <c r="E133" s="25"/>
      <c r="F133" s="25"/>
      <c r="G133" s="16"/>
      <c r="H133" s="17"/>
      <c r="I133" s="17"/>
      <c r="J133" s="17"/>
      <c r="K133" s="17"/>
      <c r="L133" s="26"/>
    </row>
    <row r="134" customFormat="false" ht="12.8" hidden="false" customHeight="false" outlineLevel="0" collapsed="false">
      <c r="A134" s="27"/>
      <c r="B134" s="11"/>
      <c r="C134" s="12"/>
      <c r="D134" s="17"/>
      <c r="E134" s="25"/>
      <c r="F134" s="25"/>
      <c r="G134" s="16"/>
      <c r="H134" s="17"/>
      <c r="I134" s="17"/>
      <c r="J134" s="17"/>
      <c r="K134" s="17"/>
      <c r="L134" s="26"/>
    </row>
    <row r="135" customFormat="false" ht="12.8" hidden="false" customHeight="false" outlineLevel="0" collapsed="false">
      <c r="A135" s="27"/>
      <c r="B135" s="11"/>
      <c r="C135" s="12"/>
      <c r="D135" s="17"/>
      <c r="E135" s="25"/>
      <c r="F135" s="25"/>
      <c r="G135" s="16"/>
      <c r="H135" s="17"/>
      <c r="I135" s="17"/>
      <c r="J135" s="17"/>
      <c r="K135" s="17"/>
      <c r="L135" s="26"/>
    </row>
    <row r="136" customFormat="false" ht="12.8" hidden="false" customHeight="false" outlineLevel="0" collapsed="false">
      <c r="A136" s="27"/>
      <c r="B136" s="11"/>
      <c r="C136" s="12"/>
      <c r="D136" s="17"/>
      <c r="E136" s="25"/>
      <c r="F136" s="25"/>
      <c r="G136" s="16"/>
      <c r="H136" s="17"/>
      <c r="I136" s="17"/>
      <c r="J136" s="17"/>
      <c r="K136" s="17"/>
      <c r="L136" s="26"/>
    </row>
    <row r="137" customFormat="false" ht="12.8" hidden="false" customHeight="false" outlineLevel="0" collapsed="false">
      <c r="A137" s="27"/>
      <c r="B137" s="11"/>
      <c r="C137" s="12"/>
      <c r="D137" s="17"/>
      <c r="E137" s="25"/>
      <c r="F137" s="25"/>
      <c r="G137" s="16"/>
      <c r="H137" s="17"/>
      <c r="I137" s="17"/>
      <c r="J137" s="17"/>
      <c r="K137" s="17"/>
      <c r="L137" s="26"/>
    </row>
    <row r="138" customFormat="false" ht="12.8" hidden="false" customHeight="false" outlineLevel="0" collapsed="false">
      <c r="A138" s="27"/>
      <c r="B138" s="11"/>
      <c r="C138" s="12"/>
      <c r="D138" s="17"/>
      <c r="E138" s="25"/>
      <c r="F138" s="25"/>
      <c r="G138" s="16"/>
      <c r="H138" s="17"/>
      <c r="I138" s="17"/>
      <c r="J138" s="17"/>
      <c r="K138" s="17"/>
      <c r="L138" s="26"/>
    </row>
    <row r="139" customFormat="false" ht="12.8" hidden="false" customHeight="false" outlineLevel="0" collapsed="false">
      <c r="A139" s="27"/>
      <c r="B139" s="11"/>
      <c r="C139" s="12"/>
      <c r="D139" s="17"/>
      <c r="E139" s="25"/>
      <c r="F139" s="25"/>
      <c r="G139" s="16"/>
      <c r="H139" s="17"/>
      <c r="I139" s="17"/>
      <c r="J139" s="17"/>
      <c r="K139" s="17"/>
      <c r="L139" s="26"/>
    </row>
    <row r="140" customFormat="false" ht="12.8" hidden="false" customHeight="false" outlineLevel="0" collapsed="false">
      <c r="A140" s="27"/>
      <c r="B140" s="11"/>
      <c r="C140" s="12"/>
      <c r="D140" s="17"/>
      <c r="E140" s="25"/>
      <c r="F140" s="25"/>
      <c r="G140" s="16"/>
      <c r="H140" s="17"/>
      <c r="I140" s="17"/>
      <c r="J140" s="17"/>
      <c r="K140" s="17"/>
      <c r="L140" s="26"/>
    </row>
    <row r="141" customFormat="false" ht="12.8" hidden="false" customHeight="false" outlineLevel="0" collapsed="false">
      <c r="A141" s="27"/>
      <c r="B141" s="11"/>
      <c r="C141" s="12"/>
      <c r="D141" s="17"/>
      <c r="E141" s="25"/>
      <c r="F141" s="25"/>
      <c r="G141" s="16"/>
      <c r="H141" s="17"/>
      <c r="I141" s="17"/>
      <c r="J141" s="17"/>
      <c r="K141" s="17"/>
      <c r="L141" s="26"/>
    </row>
    <row r="142" customFormat="false" ht="12.8" hidden="false" customHeight="false" outlineLevel="0" collapsed="false">
      <c r="A142" s="27"/>
      <c r="B142" s="11"/>
      <c r="C142" s="12"/>
      <c r="D142" s="17"/>
      <c r="E142" s="25"/>
      <c r="F142" s="25"/>
      <c r="G142" s="16"/>
      <c r="H142" s="17"/>
      <c r="I142" s="17"/>
      <c r="J142" s="17"/>
      <c r="K142" s="17"/>
      <c r="L142" s="26"/>
    </row>
    <row r="143" customFormat="false" ht="12.8" hidden="false" customHeight="false" outlineLevel="0" collapsed="false">
      <c r="A143" s="27"/>
      <c r="B143" s="11"/>
      <c r="C143" s="12"/>
      <c r="D143" s="17"/>
      <c r="E143" s="25"/>
      <c r="F143" s="25"/>
      <c r="G143" s="16"/>
      <c r="H143" s="17"/>
      <c r="I143" s="17"/>
      <c r="J143" s="17"/>
      <c r="K143" s="17"/>
      <c r="L143" s="26"/>
    </row>
    <row r="144" customFormat="false" ht="12.8" hidden="false" customHeight="false" outlineLevel="0" collapsed="false">
      <c r="A144" s="27"/>
      <c r="B144" s="11"/>
      <c r="C144" s="12"/>
      <c r="D144" s="17"/>
      <c r="E144" s="25"/>
      <c r="F144" s="25"/>
      <c r="G144" s="16"/>
      <c r="H144" s="17"/>
      <c r="I144" s="17"/>
      <c r="J144" s="17"/>
      <c r="K144" s="17"/>
      <c r="L144" s="26"/>
    </row>
    <row r="145" customFormat="false" ht="12.8" hidden="false" customHeight="false" outlineLevel="0" collapsed="false">
      <c r="A145" s="27"/>
      <c r="B145" s="11"/>
      <c r="C145" s="12"/>
      <c r="D145" s="17"/>
      <c r="E145" s="25"/>
      <c r="F145" s="25"/>
      <c r="G145" s="16"/>
      <c r="H145" s="17"/>
      <c r="I145" s="17"/>
      <c r="J145" s="17"/>
      <c r="K145" s="17"/>
      <c r="L145" s="26"/>
    </row>
    <row r="146" customFormat="false" ht="12.8" hidden="false" customHeight="false" outlineLevel="0" collapsed="false">
      <c r="A146" s="27"/>
      <c r="B146" s="11"/>
      <c r="C146" s="12"/>
      <c r="D146" s="17"/>
      <c r="E146" s="25"/>
      <c r="F146" s="25"/>
      <c r="G146" s="16"/>
      <c r="H146" s="17"/>
      <c r="I146" s="17"/>
      <c r="J146" s="17"/>
      <c r="K146" s="17"/>
      <c r="L146" s="26"/>
    </row>
    <row r="147" customFormat="false" ht="12.8" hidden="false" customHeight="false" outlineLevel="0" collapsed="false">
      <c r="A147" s="27"/>
      <c r="B147" s="11"/>
      <c r="C147" s="12"/>
      <c r="D147" s="17"/>
      <c r="E147" s="25"/>
      <c r="F147" s="25"/>
      <c r="G147" s="16"/>
      <c r="H147" s="17"/>
      <c r="I147" s="17"/>
      <c r="J147" s="17"/>
      <c r="K147" s="17"/>
      <c r="L147" s="26"/>
    </row>
    <row r="148" customFormat="false" ht="12.8" hidden="false" customHeight="false" outlineLevel="0" collapsed="false">
      <c r="A148" s="27"/>
      <c r="B148" s="11"/>
      <c r="C148" s="12"/>
      <c r="D148" s="17"/>
      <c r="E148" s="25"/>
      <c r="F148" s="25"/>
      <c r="G148" s="16"/>
      <c r="H148" s="17"/>
      <c r="I148" s="17"/>
      <c r="J148" s="17"/>
      <c r="K148" s="17"/>
      <c r="L148" s="26"/>
    </row>
    <row r="149" customFormat="false" ht="12.8" hidden="false" customHeight="false" outlineLevel="0" collapsed="false">
      <c r="A149" s="27"/>
      <c r="B149" s="11"/>
      <c r="C149" s="12"/>
      <c r="D149" s="17"/>
      <c r="E149" s="25"/>
      <c r="F149" s="25"/>
      <c r="G149" s="16"/>
      <c r="H149" s="17"/>
      <c r="I149" s="17"/>
      <c r="J149" s="17"/>
      <c r="K149" s="17"/>
      <c r="L149" s="26"/>
    </row>
    <row r="150" customFormat="false" ht="12.8" hidden="false" customHeight="false" outlineLevel="0" collapsed="false">
      <c r="A150" s="27"/>
      <c r="B150" s="11"/>
      <c r="C150" s="12"/>
      <c r="D150" s="17"/>
      <c r="E150" s="25"/>
      <c r="F150" s="25"/>
      <c r="G150" s="16"/>
      <c r="H150" s="17"/>
      <c r="I150" s="17"/>
      <c r="J150" s="17"/>
      <c r="K150" s="17"/>
      <c r="L150" s="26"/>
    </row>
    <row r="151" customFormat="false" ht="12.8" hidden="false" customHeight="false" outlineLevel="0" collapsed="false">
      <c r="A151" s="27"/>
      <c r="B151" s="11"/>
      <c r="C151" s="12"/>
      <c r="D151" s="17"/>
      <c r="E151" s="25"/>
      <c r="F151" s="25"/>
      <c r="G151" s="16"/>
      <c r="H151" s="17"/>
      <c r="I151" s="17"/>
      <c r="J151" s="17"/>
      <c r="K151" s="17"/>
      <c r="L151" s="26"/>
    </row>
    <row r="152" customFormat="false" ht="12.8" hidden="false" customHeight="false" outlineLevel="0" collapsed="false">
      <c r="A152" s="27"/>
      <c r="B152" s="11"/>
      <c r="C152" s="12"/>
      <c r="D152" s="17"/>
      <c r="E152" s="25"/>
      <c r="F152" s="25"/>
      <c r="G152" s="16"/>
      <c r="H152" s="17"/>
      <c r="I152" s="17"/>
      <c r="J152" s="17"/>
      <c r="K152" s="17"/>
      <c r="L152" s="26"/>
    </row>
    <row r="153" customFormat="false" ht="12.8" hidden="false" customHeight="false" outlineLevel="0" collapsed="false">
      <c r="A153" s="27"/>
      <c r="B153" s="11"/>
      <c r="C153" s="12"/>
      <c r="D153" s="17"/>
      <c r="E153" s="25"/>
      <c r="F153" s="25"/>
      <c r="G153" s="16"/>
      <c r="H153" s="17"/>
      <c r="I153" s="17"/>
      <c r="J153" s="17"/>
      <c r="K153" s="17"/>
      <c r="L153" s="26"/>
    </row>
    <row r="154" customFormat="false" ht="12.8" hidden="false" customHeight="false" outlineLevel="0" collapsed="false">
      <c r="A154" s="27"/>
      <c r="B154" s="11"/>
      <c r="C154" s="12"/>
      <c r="D154" s="17"/>
      <c r="E154" s="25"/>
      <c r="F154" s="25"/>
      <c r="G154" s="16"/>
      <c r="H154" s="17"/>
      <c r="I154" s="17"/>
      <c r="J154" s="17"/>
      <c r="K154" s="17"/>
      <c r="L154" s="26"/>
    </row>
    <row r="155" customFormat="false" ht="12.8" hidden="false" customHeight="false" outlineLevel="0" collapsed="false">
      <c r="A155" s="27"/>
      <c r="B155" s="11"/>
      <c r="C155" s="12"/>
      <c r="D155" s="17"/>
      <c r="E155" s="25"/>
      <c r="F155" s="25"/>
      <c r="G155" s="16"/>
      <c r="H155" s="17"/>
      <c r="I155" s="17"/>
      <c r="J155" s="17"/>
      <c r="K155" s="17"/>
      <c r="L155" s="26"/>
    </row>
    <row r="156" customFormat="false" ht="12.8" hidden="false" customHeight="false" outlineLevel="0" collapsed="false">
      <c r="A156" s="27"/>
      <c r="B156" s="11"/>
      <c r="C156" s="12"/>
      <c r="D156" s="17"/>
      <c r="E156" s="25"/>
      <c r="F156" s="25"/>
      <c r="G156" s="16"/>
      <c r="H156" s="17"/>
      <c r="I156" s="17"/>
      <c r="J156" s="17"/>
      <c r="K156" s="17"/>
      <c r="L156" s="26"/>
    </row>
    <row r="157" customFormat="false" ht="12.8" hidden="false" customHeight="false" outlineLevel="0" collapsed="false">
      <c r="A157" s="27"/>
      <c r="B157" s="11"/>
      <c r="C157" s="12"/>
      <c r="D157" s="17"/>
      <c r="E157" s="25"/>
      <c r="F157" s="25"/>
      <c r="G157" s="16"/>
      <c r="H157" s="17"/>
      <c r="I157" s="17"/>
      <c r="J157" s="17"/>
      <c r="K157" s="17"/>
      <c r="L157" s="26"/>
    </row>
    <row r="158" customFormat="false" ht="12.8" hidden="false" customHeight="false" outlineLevel="0" collapsed="false">
      <c r="A158" s="27"/>
      <c r="B158" s="11"/>
      <c r="C158" s="12"/>
      <c r="D158" s="17"/>
      <c r="E158" s="25"/>
      <c r="F158" s="25"/>
      <c r="G158" s="16"/>
      <c r="H158" s="17"/>
      <c r="I158" s="17"/>
      <c r="J158" s="17"/>
      <c r="K158" s="17"/>
      <c r="L158" s="26"/>
    </row>
    <row r="159" customFormat="false" ht="12.8" hidden="false" customHeight="false" outlineLevel="0" collapsed="false">
      <c r="A159" s="27"/>
      <c r="B159" s="11"/>
      <c r="C159" s="12"/>
      <c r="D159" s="17"/>
      <c r="E159" s="25"/>
      <c r="F159" s="25"/>
      <c r="G159" s="16"/>
      <c r="H159" s="17"/>
      <c r="I159" s="17"/>
      <c r="J159" s="17"/>
      <c r="K159" s="17"/>
      <c r="L159" s="26"/>
    </row>
    <row r="160" customFormat="false" ht="12.8" hidden="false" customHeight="false" outlineLevel="0" collapsed="false">
      <c r="A160" s="27"/>
      <c r="B160" s="11"/>
      <c r="C160" s="12"/>
      <c r="D160" s="17"/>
      <c r="E160" s="25"/>
      <c r="F160" s="25"/>
      <c r="G160" s="16"/>
      <c r="H160" s="17"/>
      <c r="I160" s="17"/>
      <c r="J160" s="17"/>
      <c r="K160" s="17"/>
      <c r="L160" s="26"/>
    </row>
    <row r="161" customFormat="false" ht="12.8" hidden="false" customHeight="false" outlineLevel="0" collapsed="false">
      <c r="A161" s="27"/>
      <c r="B161" s="11"/>
      <c r="C161" s="12"/>
      <c r="D161" s="17"/>
      <c r="E161" s="25"/>
      <c r="F161" s="25"/>
      <c r="G161" s="16"/>
      <c r="H161" s="17"/>
      <c r="I161" s="17"/>
      <c r="J161" s="17"/>
      <c r="K161" s="17"/>
      <c r="L161" s="26"/>
    </row>
    <row r="162" customFormat="false" ht="12.8" hidden="false" customHeight="false" outlineLevel="0" collapsed="false">
      <c r="A162" s="27"/>
      <c r="B162" s="11"/>
      <c r="C162" s="12"/>
      <c r="D162" s="17"/>
      <c r="E162" s="25"/>
      <c r="F162" s="25"/>
      <c r="G162" s="16"/>
      <c r="H162" s="17"/>
      <c r="I162" s="17"/>
      <c r="J162" s="17"/>
      <c r="K162" s="17"/>
      <c r="L162" s="26"/>
    </row>
    <row r="163" customFormat="false" ht="12.8" hidden="false" customHeight="false" outlineLevel="0" collapsed="false">
      <c r="A163" s="27"/>
      <c r="B163" s="11"/>
      <c r="C163" s="12"/>
      <c r="D163" s="17"/>
      <c r="E163" s="25"/>
      <c r="F163" s="25"/>
      <c r="G163" s="16"/>
      <c r="H163" s="17"/>
      <c r="I163" s="17"/>
      <c r="J163" s="17"/>
      <c r="K163" s="17"/>
      <c r="L163" s="26"/>
    </row>
    <row r="164" customFormat="false" ht="12.8" hidden="false" customHeight="false" outlineLevel="0" collapsed="false">
      <c r="A164" s="27"/>
      <c r="B164" s="11"/>
      <c r="C164" s="12"/>
      <c r="D164" s="17"/>
      <c r="E164" s="25"/>
      <c r="F164" s="25"/>
      <c r="G164" s="16"/>
      <c r="H164" s="17"/>
      <c r="I164" s="17"/>
      <c r="J164" s="17"/>
      <c r="K164" s="17"/>
      <c r="L164" s="26"/>
    </row>
    <row r="165" customFormat="false" ht="12.8" hidden="false" customHeight="false" outlineLevel="0" collapsed="false">
      <c r="A165" s="27"/>
      <c r="B165" s="11"/>
      <c r="C165" s="12"/>
      <c r="D165" s="17"/>
      <c r="E165" s="25"/>
      <c r="F165" s="25"/>
      <c r="G165" s="16"/>
      <c r="H165" s="17"/>
      <c r="I165" s="17"/>
      <c r="J165" s="17"/>
      <c r="K165" s="17"/>
      <c r="L165" s="26"/>
    </row>
    <row r="166" customFormat="false" ht="12.8" hidden="false" customHeight="false" outlineLevel="0" collapsed="false">
      <c r="A166" s="27"/>
      <c r="B166" s="11"/>
      <c r="C166" s="12"/>
      <c r="D166" s="17"/>
      <c r="E166" s="25"/>
      <c r="F166" s="25"/>
      <c r="G166" s="16"/>
      <c r="H166" s="17"/>
      <c r="I166" s="17"/>
      <c r="J166" s="17"/>
      <c r="K166" s="17"/>
      <c r="L166" s="26"/>
    </row>
    <row r="167" customFormat="false" ht="12.8" hidden="false" customHeight="false" outlineLevel="0" collapsed="false">
      <c r="A167" s="27"/>
      <c r="B167" s="11"/>
      <c r="C167" s="12"/>
      <c r="D167" s="17"/>
      <c r="E167" s="25"/>
      <c r="F167" s="25"/>
      <c r="G167" s="16"/>
      <c r="H167" s="17"/>
      <c r="I167" s="17"/>
      <c r="J167" s="17"/>
      <c r="K167" s="17"/>
      <c r="L167" s="26"/>
    </row>
    <row r="168" customFormat="false" ht="12.8" hidden="false" customHeight="false" outlineLevel="0" collapsed="false">
      <c r="A168" s="27"/>
      <c r="B168" s="11"/>
      <c r="C168" s="12"/>
      <c r="D168" s="17"/>
      <c r="E168" s="25"/>
      <c r="F168" s="25"/>
      <c r="G168" s="16"/>
      <c r="H168" s="17"/>
      <c r="I168" s="17"/>
      <c r="J168" s="17"/>
      <c r="K168" s="17"/>
      <c r="L168" s="26"/>
    </row>
    <row r="169" customFormat="false" ht="12.8" hidden="false" customHeight="false" outlineLevel="0" collapsed="false">
      <c r="A169" s="27"/>
      <c r="B169" s="11"/>
      <c r="C169" s="12"/>
      <c r="D169" s="17"/>
      <c r="E169" s="25"/>
      <c r="F169" s="25"/>
      <c r="G169" s="16"/>
      <c r="H169" s="17"/>
      <c r="I169" s="17"/>
      <c r="J169" s="17"/>
      <c r="K169" s="17"/>
      <c r="L169" s="26"/>
    </row>
    <row r="170" customFormat="false" ht="12.8" hidden="false" customHeight="false" outlineLevel="0" collapsed="false">
      <c r="A170" s="27"/>
      <c r="B170" s="11"/>
      <c r="C170" s="12"/>
      <c r="D170" s="17"/>
      <c r="E170" s="25"/>
      <c r="F170" s="25"/>
      <c r="G170" s="16"/>
      <c r="H170" s="17"/>
      <c r="I170" s="17"/>
      <c r="J170" s="17"/>
      <c r="K170" s="17"/>
      <c r="L170" s="26"/>
    </row>
    <row r="171" customFormat="false" ht="12.8" hidden="false" customHeight="false" outlineLevel="0" collapsed="false">
      <c r="A171" s="27"/>
      <c r="B171" s="11"/>
      <c r="C171" s="12"/>
      <c r="D171" s="17"/>
      <c r="E171" s="25"/>
      <c r="F171" s="25"/>
      <c r="G171" s="16"/>
      <c r="H171" s="17"/>
      <c r="I171" s="17"/>
      <c r="J171" s="17"/>
      <c r="K171" s="17"/>
      <c r="L171" s="26"/>
    </row>
    <row r="172" customFormat="false" ht="12.8" hidden="false" customHeight="false" outlineLevel="0" collapsed="false">
      <c r="A172" s="27"/>
      <c r="B172" s="11"/>
      <c r="C172" s="12"/>
      <c r="D172" s="17"/>
      <c r="E172" s="25"/>
      <c r="F172" s="25"/>
      <c r="G172" s="16"/>
      <c r="H172" s="17"/>
      <c r="I172" s="17"/>
      <c r="J172" s="17"/>
      <c r="K172" s="17"/>
      <c r="L172" s="26"/>
    </row>
    <row r="173" customFormat="false" ht="12.8" hidden="false" customHeight="false" outlineLevel="0" collapsed="false">
      <c r="A173" s="27"/>
      <c r="B173" s="11"/>
      <c r="C173" s="12"/>
      <c r="D173" s="17"/>
      <c r="E173" s="25"/>
      <c r="F173" s="25"/>
      <c r="G173" s="16"/>
      <c r="H173" s="17"/>
      <c r="I173" s="17"/>
      <c r="J173" s="17"/>
      <c r="K173" s="17"/>
      <c r="L173" s="26"/>
    </row>
    <row r="174" customFormat="false" ht="12.8" hidden="false" customHeight="false" outlineLevel="0" collapsed="false">
      <c r="A174" s="27"/>
      <c r="B174" s="11"/>
      <c r="C174" s="12"/>
      <c r="D174" s="17"/>
      <c r="E174" s="25"/>
      <c r="F174" s="25"/>
      <c r="G174" s="16"/>
      <c r="H174" s="17"/>
      <c r="I174" s="17"/>
      <c r="J174" s="17"/>
      <c r="K174" s="17"/>
      <c r="L174" s="26"/>
    </row>
    <row r="175" customFormat="false" ht="12.8" hidden="false" customHeight="false" outlineLevel="0" collapsed="false">
      <c r="A175" s="27"/>
      <c r="B175" s="11"/>
      <c r="C175" s="12"/>
      <c r="D175" s="17"/>
      <c r="E175" s="25"/>
      <c r="F175" s="25"/>
      <c r="G175" s="16"/>
      <c r="H175" s="17"/>
      <c r="I175" s="17"/>
      <c r="J175" s="17"/>
      <c r="K175" s="17"/>
      <c r="L175" s="26"/>
    </row>
    <row r="176" customFormat="false" ht="12.8" hidden="false" customHeight="false" outlineLevel="0" collapsed="false">
      <c r="A176" s="27"/>
      <c r="B176" s="11"/>
      <c r="C176" s="12"/>
      <c r="D176" s="17"/>
      <c r="E176" s="25"/>
      <c r="F176" s="25"/>
      <c r="G176" s="16"/>
      <c r="H176" s="17"/>
      <c r="I176" s="17"/>
      <c r="J176" s="17"/>
      <c r="K176" s="17"/>
      <c r="L176" s="26"/>
    </row>
    <row r="177" customFormat="false" ht="12.8" hidden="false" customHeight="false" outlineLevel="0" collapsed="false">
      <c r="A177" s="27"/>
      <c r="B177" s="11"/>
      <c r="C177" s="12"/>
      <c r="D177" s="17"/>
      <c r="E177" s="25"/>
      <c r="F177" s="25"/>
      <c r="G177" s="16"/>
      <c r="H177" s="17"/>
      <c r="I177" s="17"/>
      <c r="J177" s="17"/>
      <c r="K177" s="17"/>
      <c r="L177" s="26"/>
    </row>
    <row r="178" customFormat="false" ht="12.8" hidden="false" customHeight="false" outlineLevel="0" collapsed="false">
      <c r="A178" s="27"/>
      <c r="B178" s="11"/>
      <c r="C178" s="12"/>
      <c r="D178" s="17"/>
      <c r="E178" s="25"/>
      <c r="F178" s="25"/>
      <c r="G178" s="16"/>
      <c r="H178" s="17"/>
      <c r="I178" s="17"/>
      <c r="J178" s="17"/>
      <c r="K178" s="17"/>
      <c r="L178" s="26"/>
    </row>
    <row r="179" customFormat="false" ht="12.8" hidden="false" customHeight="false" outlineLevel="0" collapsed="false">
      <c r="A179" s="27"/>
      <c r="B179" s="11"/>
      <c r="C179" s="12"/>
      <c r="D179" s="17"/>
      <c r="E179" s="25"/>
      <c r="F179" s="25"/>
      <c r="G179" s="16"/>
      <c r="H179" s="17"/>
      <c r="I179" s="17"/>
      <c r="J179" s="17"/>
      <c r="K179" s="17"/>
      <c r="L179" s="26"/>
    </row>
    <row r="180" customFormat="false" ht="12.8" hidden="false" customHeight="false" outlineLevel="0" collapsed="false">
      <c r="A180" s="27"/>
      <c r="B180" s="11"/>
      <c r="C180" s="12"/>
      <c r="D180" s="17"/>
      <c r="E180" s="25"/>
      <c r="F180" s="25"/>
      <c r="G180" s="16"/>
      <c r="H180" s="17"/>
      <c r="I180" s="17"/>
      <c r="J180" s="17"/>
      <c r="K180" s="17"/>
      <c r="L180" s="26"/>
    </row>
    <row r="181" customFormat="false" ht="12.8" hidden="false" customHeight="false" outlineLevel="0" collapsed="false">
      <c r="A181" s="27"/>
      <c r="B181" s="11"/>
      <c r="C181" s="12"/>
      <c r="D181" s="17"/>
      <c r="E181" s="25"/>
      <c r="F181" s="25"/>
      <c r="G181" s="16"/>
      <c r="H181" s="17"/>
      <c r="I181" s="17"/>
      <c r="J181" s="17"/>
      <c r="K181" s="17"/>
      <c r="L181" s="26"/>
    </row>
    <row r="182" customFormat="false" ht="12.8" hidden="false" customHeight="false" outlineLevel="0" collapsed="false">
      <c r="A182" s="27"/>
      <c r="B182" s="11"/>
      <c r="C182" s="12"/>
      <c r="D182" s="17"/>
      <c r="E182" s="25"/>
      <c r="F182" s="25"/>
      <c r="G182" s="16"/>
      <c r="H182" s="17"/>
      <c r="I182" s="17"/>
      <c r="J182" s="17"/>
      <c r="K182" s="17"/>
      <c r="L182" s="26"/>
    </row>
    <row r="183" customFormat="false" ht="12.8" hidden="false" customHeight="false" outlineLevel="0" collapsed="false">
      <c r="A183" s="27"/>
      <c r="B183" s="11"/>
      <c r="C183" s="12"/>
      <c r="D183" s="17"/>
      <c r="E183" s="25"/>
      <c r="F183" s="25"/>
      <c r="G183" s="16"/>
      <c r="H183" s="17"/>
      <c r="I183" s="17"/>
      <c r="J183" s="17"/>
      <c r="K183" s="17"/>
      <c r="L183" s="26"/>
    </row>
    <row r="184" customFormat="false" ht="12.8" hidden="false" customHeight="false" outlineLevel="0" collapsed="false">
      <c r="A184" s="27"/>
      <c r="B184" s="11"/>
      <c r="C184" s="12"/>
      <c r="D184" s="17"/>
      <c r="E184" s="25"/>
      <c r="F184" s="25"/>
      <c r="G184" s="16"/>
      <c r="H184" s="17"/>
      <c r="I184" s="17"/>
      <c r="J184" s="17"/>
      <c r="K184" s="17"/>
      <c r="L184" s="26"/>
    </row>
    <row r="185" customFormat="false" ht="12.8" hidden="false" customHeight="false" outlineLevel="0" collapsed="false">
      <c r="A185" s="27"/>
      <c r="B185" s="11"/>
      <c r="C185" s="12"/>
      <c r="D185" s="17"/>
      <c r="E185" s="25"/>
      <c r="F185" s="25"/>
      <c r="G185" s="16"/>
      <c r="H185" s="17"/>
      <c r="I185" s="17"/>
      <c r="J185" s="17"/>
      <c r="K185" s="17"/>
      <c r="L185" s="26"/>
    </row>
    <row r="186" customFormat="false" ht="12.8" hidden="false" customHeight="false" outlineLevel="0" collapsed="false">
      <c r="A186" s="27"/>
      <c r="B186" s="11"/>
      <c r="C186" s="12"/>
      <c r="D186" s="17"/>
      <c r="E186" s="25"/>
      <c r="F186" s="25"/>
      <c r="G186" s="16"/>
      <c r="H186" s="17"/>
      <c r="I186" s="17"/>
      <c r="J186" s="17"/>
      <c r="K186" s="17"/>
      <c r="L186" s="26"/>
    </row>
    <row r="187" customFormat="false" ht="12.8" hidden="false" customHeight="false" outlineLevel="0" collapsed="false">
      <c r="A187" s="27"/>
      <c r="B187" s="11"/>
      <c r="C187" s="12"/>
      <c r="D187" s="17"/>
      <c r="E187" s="25"/>
      <c r="F187" s="25"/>
      <c r="G187" s="16"/>
      <c r="H187" s="17"/>
      <c r="I187" s="17"/>
      <c r="J187" s="17"/>
      <c r="K187" s="17"/>
      <c r="L187" s="26"/>
    </row>
    <row r="188" customFormat="false" ht="12.8" hidden="false" customHeight="false" outlineLevel="0" collapsed="false">
      <c r="A188" s="27"/>
      <c r="B188" s="11"/>
      <c r="C188" s="12"/>
      <c r="D188" s="17"/>
      <c r="E188" s="25"/>
      <c r="F188" s="25"/>
      <c r="G188" s="16"/>
      <c r="H188" s="17"/>
      <c r="I188" s="17"/>
      <c r="J188" s="17"/>
      <c r="K188" s="17"/>
      <c r="L188" s="26"/>
    </row>
    <row r="189" customFormat="false" ht="12.8" hidden="false" customHeight="false" outlineLevel="0" collapsed="false">
      <c r="A189" s="27"/>
      <c r="B189" s="11"/>
      <c r="C189" s="12"/>
      <c r="D189" s="17"/>
      <c r="E189" s="25"/>
      <c r="F189" s="25"/>
      <c r="G189" s="16"/>
      <c r="H189" s="17"/>
      <c r="I189" s="17"/>
      <c r="J189" s="17"/>
      <c r="K189" s="17"/>
      <c r="L189" s="26"/>
    </row>
    <row r="190" customFormat="false" ht="12.8" hidden="false" customHeight="false" outlineLevel="0" collapsed="false">
      <c r="A190" s="27"/>
      <c r="B190" s="11"/>
      <c r="C190" s="12"/>
      <c r="D190" s="17"/>
      <c r="E190" s="25"/>
      <c r="F190" s="25"/>
      <c r="G190" s="16"/>
      <c r="H190" s="17"/>
      <c r="I190" s="17"/>
      <c r="J190" s="17"/>
      <c r="K190" s="17"/>
      <c r="L190" s="26"/>
    </row>
    <row r="191" customFormat="false" ht="12.8" hidden="false" customHeight="false" outlineLevel="0" collapsed="false">
      <c r="A191" s="27"/>
      <c r="B191" s="11"/>
      <c r="C191" s="12"/>
      <c r="D191" s="17"/>
      <c r="E191" s="25"/>
      <c r="F191" s="25"/>
      <c r="G191" s="16"/>
      <c r="H191" s="17"/>
      <c r="I191" s="17"/>
      <c r="J191" s="17"/>
      <c r="K191" s="17"/>
      <c r="L191" s="26"/>
    </row>
    <row r="192" customFormat="false" ht="12.8" hidden="false" customHeight="false" outlineLevel="0" collapsed="false">
      <c r="A192" s="27"/>
      <c r="B192" s="11"/>
      <c r="C192" s="12"/>
      <c r="D192" s="17"/>
      <c r="E192" s="25"/>
      <c r="F192" s="25"/>
      <c r="G192" s="16"/>
      <c r="H192" s="17"/>
      <c r="I192" s="17"/>
      <c r="J192" s="17"/>
      <c r="K192" s="17"/>
      <c r="L192" s="26"/>
    </row>
    <row r="193" customFormat="false" ht="12.8" hidden="false" customHeight="false" outlineLevel="0" collapsed="false">
      <c r="A193" s="27"/>
      <c r="B193" s="11"/>
      <c r="C193" s="12"/>
      <c r="D193" s="17"/>
      <c r="E193" s="25"/>
      <c r="F193" s="25"/>
      <c r="G193" s="16"/>
      <c r="H193" s="17"/>
      <c r="I193" s="17"/>
      <c r="J193" s="17"/>
      <c r="K193" s="17"/>
      <c r="L193" s="26"/>
    </row>
    <row r="194" customFormat="false" ht="12.8" hidden="false" customHeight="false" outlineLevel="0" collapsed="false">
      <c r="A194" s="27"/>
      <c r="B194" s="11"/>
      <c r="C194" s="12"/>
      <c r="D194" s="17"/>
      <c r="E194" s="25"/>
      <c r="F194" s="25"/>
      <c r="G194" s="16"/>
      <c r="H194" s="17"/>
      <c r="I194" s="17"/>
      <c r="J194" s="17"/>
      <c r="K194" s="17"/>
      <c r="L194" s="26"/>
    </row>
    <row r="195" customFormat="false" ht="12.8" hidden="false" customHeight="false" outlineLevel="0" collapsed="false">
      <c r="A195" s="27"/>
      <c r="B195" s="11"/>
      <c r="C195" s="12"/>
      <c r="D195" s="17"/>
      <c r="E195" s="25"/>
      <c r="F195" s="25"/>
      <c r="G195" s="16"/>
      <c r="H195" s="17"/>
      <c r="I195" s="17"/>
      <c r="J195" s="17"/>
      <c r="K195" s="17"/>
      <c r="L195" s="26"/>
    </row>
    <row r="196" customFormat="false" ht="12.8" hidden="false" customHeight="false" outlineLevel="0" collapsed="false">
      <c r="A196" s="27"/>
      <c r="B196" s="11"/>
      <c r="C196" s="12"/>
      <c r="D196" s="17"/>
      <c r="E196" s="25"/>
      <c r="F196" s="25"/>
      <c r="G196" s="16"/>
      <c r="H196" s="17"/>
      <c r="I196" s="17"/>
      <c r="J196" s="17"/>
      <c r="K196" s="17"/>
      <c r="L196" s="26"/>
    </row>
    <row r="197" customFormat="false" ht="12.8" hidden="false" customHeight="false" outlineLevel="0" collapsed="false">
      <c r="A197" s="27"/>
      <c r="B197" s="11"/>
      <c r="C197" s="12"/>
      <c r="D197" s="17"/>
      <c r="E197" s="25"/>
      <c r="F197" s="25"/>
      <c r="G197" s="16"/>
      <c r="H197" s="17"/>
      <c r="I197" s="17"/>
      <c r="J197" s="17"/>
      <c r="K197" s="17"/>
      <c r="L197" s="26"/>
    </row>
    <row r="198" customFormat="false" ht="12.8" hidden="false" customHeight="false" outlineLevel="0" collapsed="false">
      <c r="A198" s="27"/>
      <c r="B198" s="11"/>
      <c r="C198" s="12"/>
      <c r="D198" s="17"/>
      <c r="E198" s="25"/>
      <c r="F198" s="25"/>
      <c r="G198" s="16"/>
      <c r="H198" s="17"/>
      <c r="I198" s="17"/>
      <c r="J198" s="17"/>
      <c r="K198" s="17"/>
      <c r="L198" s="26"/>
    </row>
    <row r="199" customFormat="false" ht="12.8" hidden="false" customHeight="false" outlineLevel="0" collapsed="false">
      <c r="A199" s="27"/>
      <c r="B199" s="11"/>
      <c r="C199" s="12"/>
      <c r="D199" s="17"/>
      <c r="E199" s="25"/>
      <c r="F199" s="25"/>
      <c r="G199" s="16"/>
      <c r="H199" s="17"/>
      <c r="I199" s="17"/>
      <c r="J199" s="17"/>
      <c r="K199" s="17"/>
      <c r="L199" s="26"/>
    </row>
    <row r="200" customFormat="false" ht="12.8" hidden="false" customHeight="false" outlineLevel="0" collapsed="false">
      <c r="A200" s="27"/>
      <c r="B200" s="11"/>
      <c r="C200" s="12"/>
      <c r="D200" s="17"/>
      <c r="E200" s="25"/>
      <c r="F200" s="25"/>
      <c r="G200" s="16"/>
      <c r="H200" s="17"/>
      <c r="I200" s="17"/>
      <c r="J200" s="17"/>
      <c r="K200" s="17"/>
      <c r="L200" s="26"/>
    </row>
    <row r="201" customFormat="false" ht="12.8" hidden="false" customHeight="false" outlineLevel="0" collapsed="false">
      <c r="A201" s="27"/>
      <c r="B201" s="11"/>
      <c r="C201" s="12"/>
      <c r="D201" s="17"/>
      <c r="E201" s="25"/>
      <c r="F201" s="25"/>
      <c r="G201" s="16"/>
      <c r="H201" s="17"/>
      <c r="I201" s="17"/>
      <c r="J201" s="17"/>
      <c r="K201" s="17"/>
      <c r="L201" s="26"/>
    </row>
    <row r="202" customFormat="false" ht="12.8" hidden="false" customHeight="false" outlineLevel="0" collapsed="false">
      <c r="A202" s="27"/>
      <c r="B202" s="11"/>
      <c r="C202" s="12"/>
      <c r="D202" s="17"/>
      <c r="E202" s="25"/>
      <c r="F202" s="25"/>
      <c r="G202" s="16"/>
      <c r="H202" s="17"/>
      <c r="I202" s="17"/>
      <c r="J202" s="17"/>
      <c r="K202" s="17"/>
      <c r="L202" s="26"/>
    </row>
    <row r="203" customFormat="false" ht="12.8" hidden="false" customHeight="false" outlineLevel="0" collapsed="false">
      <c r="A203" s="27"/>
      <c r="B203" s="11"/>
      <c r="C203" s="12"/>
      <c r="D203" s="17"/>
      <c r="E203" s="25"/>
      <c r="F203" s="25"/>
      <c r="G203" s="16"/>
      <c r="H203" s="17"/>
      <c r="I203" s="17"/>
      <c r="J203" s="17"/>
      <c r="K203" s="17"/>
      <c r="L203" s="26"/>
    </row>
    <row r="204" customFormat="false" ht="12.8" hidden="false" customHeight="false" outlineLevel="0" collapsed="false">
      <c r="A204" s="27"/>
      <c r="B204" s="11"/>
      <c r="C204" s="12"/>
      <c r="D204" s="17"/>
      <c r="E204" s="25"/>
      <c r="F204" s="25"/>
      <c r="G204" s="16"/>
      <c r="H204" s="17"/>
      <c r="I204" s="17"/>
      <c r="J204" s="17"/>
      <c r="K204" s="17"/>
      <c r="L204" s="26"/>
    </row>
    <row r="205" customFormat="false" ht="12.8" hidden="false" customHeight="false" outlineLevel="0" collapsed="false">
      <c r="A205" s="27"/>
      <c r="B205" s="11"/>
      <c r="C205" s="12"/>
      <c r="D205" s="17"/>
      <c r="E205" s="25"/>
      <c r="F205" s="25"/>
      <c r="G205" s="16"/>
      <c r="H205" s="17"/>
      <c r="I205" s="17"/>
      <c r="J205" s="17"/>
      <c r="K205" s="17"/>
      <c r="L205" s="26"/>
    </row>
    <row r="206" customFormat="false" ht="12.8" hidden="false" customHeight="false" outlineLevel="0" collapsed="false">
      <c r="A206" s="27"/>
      <c r="B206" s="11"/>
      <c r="C206" s="12"/>
      <c r="D206" s="17"/>
      <c r="E206" s="25"/>
      <c r="F206" s="25"/>
      <c r="G206" s="16"/>
      <c r="H206" s="17"/>
      <c r="I206" s="17"/>
      <c r="J206" s="17"/>
      <c r="K206" s="17"/>
      <c r="L206" s="26"/>
    </row>
    <row r="207" customFormat="false" ht="12.8" hidden="false" customHeight="false" outlineLevel="0" collapsed="false">
      <c r="A207" s="27"/>
      <c r="B207" s="11"/>
      <c r="C207" s="12"/>
      <c r="D207" s="17"/>
      <c r="E207" s="25"/>
      <c r="F207" s="25"/>
      <c r="G207" s="16"/>
      <c r="H207" s="17"/>
      <c r="I207" s="17"/>
      <c r="J207" s="17"/>
      <c r="K207" s="17"/>
      <c r="L207" s="26"/>
    </row>
    <row r="208" customFormat="false" ht="12.8" hidden="false" customHeight="false" outlineLevel="0" collapsed="false">
      <c r="A208" s="27"/>
      <c r="B208" s="11"/>
      <c r="C208" s="12"/>
      <c r="D208" s="17"/>
      <c r="E208" s="25"/>
      <c r="F208" s="25"/>
      <c r="G208" s="16"/>
      <c r="H208" s="17"/>
      <c r="I208" s="17"/>
      <c r="J208" s="17"/>
      <c r="K208" s="17"/>
      <c r="L208" s="26"/>
    </row>
    <row r="209" customFormat="false" ht="12.8" hidden="false" customHeight="false" outlineLevel="0" collapsed="false">
      <c r="A209" s="27"/>
      <c r="B209" s="11"/>
      <c r="C209" s="12"/>
      <c r="D209" s="17"/>
      <c r="E209" s="25"/>
      <c r="F209" s="25"/>
      <c r="G209" s="16"/>
      <c r="H209" s="17"/>
      <c r="I209" s="17"/>
      <c r="J209" s="17"/>
      <c r="K209" s="17"/>
      <c r="L209" s="26"/>
    </row>
    <row r="210" customFormat="false" ht="12.8" hidden="false" customHeight="false" outlineLevel="0" collapsed="false">
      <c r="A210" s="27"/>
      <c r="B210" s="11"/>
      <c r="C210" s="12"/>
      <c r="D210" s="17"/>
      <c r="E210" s="25"/>
      <c r="F210" s="25"/>
      <c r="G210" s="16"/>
      <c r="H210" s="17"/>
      <c r="I210" s="17"/>
      <c r="J210" s="17"/>
      <c r="K210" s="17"/>
      <c r="L210" s="26"/>
    </row>
    <row r="211" customFormat="false" ht="12.8" hidden="false" customHeight="false" outlineLevel="0" collapsed="false">
      <c r="A211" s="27"/>
      <c r="B211" s="11"/>
      <c r="C211" s="12"/>
      <c r="D211" s="17"/>
      <c r="E211" s="25"/>
      <c r="F211" s="25"/>
      <c r="G211" s="16"/>
      <c r="H211" s="17"/>
      <c r="I211" s="17"/>
      <c r="J211" s="17"/>
      <c r="K211" s="17"/>
      <c r="L211" s="26"/>
    </row>
    <row r="212" customFormat="false" ht="12.8" hidden="false" customHeight="false" outlineLevel="0" collapsed="false">
      <c r="A212" s="27"/>
      <c r="B212" s="11"/>
      <c r="C212" s="12"/>
      <c r="D212" s="17"/>
      <c r="E212" s="25"/>
      <c r="F212" s="25"/>
      <c r="G212" s="16"/>
      <c r="H212" s="17"/>
      <c r="I212" s="17"/>
      <c r="J212" s="17"/>
      <c r="K212" s="17"/>
      <c r="L212" s="26"/>
    </row>
    <row r="213" customFormat="false" ht="12.8" hidden="false" customHeight="false" outlineLevel="0" collapsed="false">
      <c r="A213" s="27"/>
      <c r="B213" s="11"/>
      <c r="C213" s="12"/>
      <c r="D213" s="17"/>
      <c r="E213" s="25"/>
      <c r="F213" s="25"/>
      <c r="G213" s="16"/>
      <c r="H213" s="17"/>
      <c r="I213" s="17"/>
      <c r="J213" s="17"/>
      <c r="K213" s="17"/>
      <c r="L213" s="26"/>
    </row>
    <row r="214" customFormat="false" ht="12.8" hidden="false" customHeight="false" outlineLevel="0" collapsed="false">
      <c r="A214" s="27"/>
      <c r="B214" s="11"/>
      <c r="C214" s="12"/>
      <c r="D214" s="17"/>
      <c r="E214" s="25"/>
      <c r="F214" s="25"/>
      <c r="G214" s="16"/>
      <c r="H214" s="17"/>
      <c r="I214" s="17"/>
      <c r="J214" s="17"/>
      <c r="K214" s="17"/>
      <c r="L214" s="26"/>
    </row>
    <row r="215" customFormat="false" ht="12.8" hidden="false" customHeight="false" outlineLevel="0" collapsed="false">
      <c r="A215" s="27"/>
      <c r="B215" s="11"/>
      <c r="C215" s="12"/>
      <c r="D215" s="17"/>
      <c r="E215" s="25"/>
      <c r="F215" s="25"/>
      <c r="G215" s="16"/>
      <c r="H215" s="17"/>
      <c r="I215" s="17"/>
      <c r="J215" s="17"/>
      <c r="K215" s="17"/>
      <c r="L215" s="26"/>
    </row>
    <row r="216" customFormat="false" ht="12.8" hidden="false" customHeight="false" outlineLevel="0" collapsed="false">
      <c r="A216" s="27"/>
      <c r="B216" s="11"/>
      <c r="C216" s="12"/>
      <c r="D216" s="17"/>
      <c r="E216" s="25"/>
      <c r="F216" s="25"/>
      <c r="G216" s="16"/>
      <c r="H216" s="17"/>
      <c r="I216" s="17"/>
      <c r="J216" s="17"/>
      <c r="K216" s="17"/>
      <c r="L216" s="26"/>
    </row>
    <row r="217" customFormat="false" ht="12.8" hidden="false" customHeight="false" outlineLevel="0" collapsed="false">
      <c r="A217" s="27"/>
      <c r="B217" s="11"/>
      <c r="C217" s="12"/>
      <c r="D217" s="17"/>
      <c r="E217" s="25"/>
      <c r="F217" s="25"/>
      <c r="G217" s="16"/>
      <c r="H217" s="17"/>
      <c r="I217" s="17"/>
      <c r="J217" s="17"/>
      <c r="K217" s="17"/>
      <c r="L217" s="26"/>
    </row>
    <row r="218" customFormat="false" ht="12.8" hidden="false" customHeight="false" outlineLevel="0" collapsed="false">
      <c r="A218" s="27"/>
      <c r="B218" s="11"/>
      <c r="C218" s="12"/>
      <c r="D218" s="17"/>
      <c r="E218" s="25"/>
      <c r="F218" s="25"/>
      <c r="G218" s="16"/>
      <c r="H218" s="17"/>
      <c r="I218" s="17"/>
      <c r="J218" s="17"/>
      <c r="K218" s="17"/>
      <c r="L218" s="26"/>
    </row>
    <row r="219" customFormat="false" ht="12.8" hidden="false" customHeight="false" outlineLevel="0" collapsed="false">
      <c r="A219" s="27"/>
      <c r="B219" s="11"/>
      <c r="C219" s="12"/>
      <c r="D219" s="17"/>
      <c r="E219" s="25"/>
      <c r="F219" s="25"/>
      <c r="G219" s="16"/>
      <c r="H219" s="17"/>
      <c r="I219" s="17"/>
      <c r="J219" s="17"/>
      <c r="K219" s="17"/>
      <c r="L219" s="26"/>
    </row>
    <row r="220" customFormat="false" ht="12.8" hidden="false" customHeight="false" outlineLevel="0" collapsed="false">
      <c r="A220" s="27"/>
      <c r="B220" s="11"/>
      <c r="C220" s="12"/>
      <c r="D220" s="17"/>
      <c r="E220" s="25"/>
      <c r="F220" s="25"/>
      <c r="G220" s="16"/>
      <c r="H220" s="17"/>
      <c r="I220" s="17"/>
      <c r="J220" s="17"/>
      <c r="K220" s="17"/>
      <c r="L220" s="26"/>
    </row>
    <row r="221" customFormat="false" ht="12.8" hidden="false" customHeight="false" outlineLevel="0" collapsed="false">
      <c r="A221" s="27"/>
      <c r="B221" s="11"/>
      <c r="C221" s="12"/>
      <c r="D221" s="17"/>
      <c r="E221" s="25"/>
      <c r="F221" s="25"/>
      <c r="G221" s="16"/>
      <c r="H221" s="17"/>
      <c r="I221" s="17"/>
      <c r="J221" s="17"/>
      <c r="K221" s="17"/>
      <c r="L221" s="26"/>
    </row>
    <row r="222" customFormat="false" ht="12.8" hidden="false" customHeight="false" outlineLevel="0" collapsed="false">
      <c r="A222" s="27"/>
      <c r="B222" s="11"/>
      <c r="C222" s="12"/>
      <c r="D222" s="17"/>
      <c r="E222" s="25"/>
      <c r="F222" s="25"/>
      <c r="G222" s="16"/>
      <c r="H222" s="17"/>
      <c r="I222" s="17"/>
      <c r="J222" s="17"/>
      <c r="K222" s="17"/>
      <c r="L222" s="26"/>
    </row>
    <row r="223" customFormat="false" ht="12.8" hidden="false" customHeight="false" outlineLevel="0" collapsed="false">
      <c r="A223" s="27"/>
      <c r="B223" s="11"/>
      <c r="C223" s="12"/>
      <c r="D223" s="17"/>
      <c r="E223" s="25"/>
      <c r="F223" s="25"/>
      <c r="G223" s="16"/>
      <c r="H223" s="17"/>
      <c r="I223" s="17"/>
      <c r="J223" s="17"/>
      <c r="K223" s="17"/>
      <c r="L223" s="26"/>
    </row>
    <row r="224" customFormat="false" ht="12.8" hidden="false" customHeight="false" outlineLevel="0" collapsed="false">
      <c r="A224" s="27"/>
      <c r="B224" s="11"/>
      <c r="C224" s="12"/>
      <c r="D224" s="17"/>
      <c r="E224" s="25"/>
      <c r="F224" s="25"/>
      <c r="G224" s="16"/>
      <c r="H224" s="17"/>
      <c r="I224" s="17"/>
      <c r="J224" s="17"/>
      <c r="K224" s="17"/>
      <c r="L224" s="26"/>
    </row>
    <row r="225" customFormat="false" ht="12.8" hidden="false" customHeight="false" outlineLevel="0" collapsed="false">
      <c r="A225" s="27"/>
      <c r="B225" s="11"/>
      <c r="C225" s="12"/>
      <c r="D225" s="17"/>
      <c r="E225" s="25"/>
      <c r="F225" s="25"/>
      <c r="G225" s="16"/>
      <c r="H225" s="17"/>
      <c r="I225" s="17"/>
      <c r="J225" s="17"/>
      <c r="K225" s="17"/>
      <c r="L225" s="26"/>
    </row>
    <row r="226" customFormat="false" ht="12.8" hidden="false" customHeight="false" outlineLevel="0" collapsed="false">
      <c r="A226" s="27"/>
      <c r="B226" s="11"/>
      <c r="C226" s="12"/>
      <c r="D226" s="17"/>
      <c r="E226" s="25"/>
      <c r="F226" s="25"/>
      <c r="G226" s="16"/>
      <c r="H226" s="17"/>
      <c r="I226" s="17"/>
      <c r="J226" s="17"/>
      <c r="K226" s="17"/>
      <c r="L226" s="26"/>
    </row>
    <row r="227" customFormat="false" ht="12.8" hidden="false" customHeight="false" outlineLevel="0" collapsed="false">
      <c r="A227" s="27"/>
      <c r="B227" s="11"/>
      <c r="C227" s="12"/>
      <c r="D227" s="17"/>
      <c r="E227" s="25"/>
      <c r="F227" s="25"/>
      <c r="G227" s="16"/>
      <c r="H227" s="17"/>
      <c r="I227" s="17"/>
      <c r="J227" s="17"/>
      <c r="K227" s="17"/>
      <c r="L227" s="26"/>
    </row>
    <row r="228" customFormat="false" ht="12.8" hidden="false" customHeight="false" outlineLevel="0" collapsed="false">
      <c r="A228" s="27"/>
      <c r="B228" s="11"/>
      <c r="C228" s="12"/>
      <c r="D228" s="17"/>
      <c r="E228" s="25"/>
      <c r="F228" s="25"/>
      <c r="G228" s="16"/>
      <c r="H228" s="17"/>
      <c r="I228" s="17"/>
      <c r="J228" s="17"/>
      <c r="K228" s="17"/>
      <c r="L228" s="26"/>
    </row>
    <row r="229" customFormat="false" ht="12.8" hidden="false" customHeight="false" outlineLevel="0" collapsed="false">
      <c r="A229" s="27"/>
      <c r="B229" s="11"/>
      <c r="C229" s="12"/>
      <c r="D229" s="17"/>
      <c r="E229" s="25"/>
      <c r="F229" s="25"/>
      <c r="G229" s="16"/>
      <c r="H229" s="17"/>
      <c r="I229" s="17"/>
      <c r="J229" s="17"/>
      <c r="K229" s="17"/>
      <c r="L229" s="26"/>
    </row>
    <row r="230" customFormat="false" ht="12.8" hidden="false" customHeight="false" outlineLevel="0" collapsed="false">
      <c r="A230" s="27"/>
      <c r="B230" s="11"/>
      <c r="C230" s="12"/>
      <c r="D230" s="17"/>
      <c r="E230" s="25"/>
      <c r="F230" s="25"/>
      <c r="G230" s="16"/>
      <c r="H230" s="17"/>
      <c r="I230" s="17"/>
      <c r="J230" s="17"/>
      <c r="K230" s="17"/>
      <c r="L230" s="26"/>
    </row>
    <row r="231" customFormat="false" ht="12.8" hidden="false" customHeight="false" outlineLevel="0" collapsed="false">
      <c r="A231" s="27"/>
      <c r="B231" s="11"/>
      <c r="C231" s="12"/>
      <c r="D231" s="17"/>
      <c r="E231" s="25"/>
      <c r="F231" s="25"/>
      <c r="G231" s="16"/>
      <c r="H231" s="17"/>
      <c r="I231" s="17"/>
      <c r="J231" s="17"/>
      <c r="K231" s="17"/>
      <c r="L231" s="26"/>
    </row>
    <row r="232" customFormat="false" ht="12.8" hidden="false" customHeight="false" outlineLevel="0" collapsed="false">
      <c r="A232" s="27"/>
      <c r="B232" s="11"/>
      <c r="C232" s="12"/>
      <c r="D232" s="17"/>
      <c r="E232" s="25"/>
      <c r="F232" s="25"/>
      <c r="G232" s="16"/>
      <c r="H232" s="17"/>
      <c r="I232" s="17"/>
      <c r="J232" s="17"/>
      <c r="K232" s="17"/>
      <c r="L232" s="26"/>
    </row>
    <row r="233" customFormat="false" ht="12.8" hidden="false" customHeight="false" outlineLevel="0" collapsed="false">
      <c r="A233" s="27"/>
      <c r="B233" s="11"/>
      <c r="C233" s="12"/>
      <c r="D233" s="17"/>
      <c r="E233" s="25"/>
      <c r="F233" s="25"/>
      <c r="G233" s="16"/>
      <c r="H233" s="17"/>
      <c r="I233" s="17"/>
      <c r="J233" s="17"/>
      <c r="K233" s="17"/>
      <c r="L233" s="26"/>
    </row>
    <row r="234" customFormat="false" ht="12.8" hidden="false" customHeight="false" outlineLevel="0" collapsed="false">
      <c r="A234" s="27"/>
      <c r="B234" s="11"/>
      <c r="C234" s="12"/>
      <c r="D234" s="17"/>
      <c r="E234" s="25"/>
      <c r="F234" s="25"/>
      <c r="G234" s="16"/>
      <c r="H234" s="17"/>
      <c r="I234" s="17"/>
      <c r="J234" s="17"/>
      <c r="K234" s="17"/>
      <c r="L234" s="26"/>
    </row>
    <row r="235" customFormat="false" ht="12.8" hidden="false" customHeight="false" outlineLevel="0" collapsed="false">
      <c r="A235" s="27"/>
      <c r="B235" s="11"/>
      <c r="C235" s="12"/>
      <c r="D235" s="17"/>
      <c r="E235" s="25"/>
      <c r="F235" s="25"/>
      <c r="G235" s="16"/>
      <c r="H235" s="17"/>
      <c r="I235" s="17"/>
      <c r="J235" s="17"/>
      <c r="K235" s="17"/>
      <c r="L235" s="26"/>
    </row>
    <row r="236" customFormat="false" ht="12.8" hidden="false" customHeight="false" outlineLevel="0" collapsed="false">
      <c r="A236" s="27"/>
      <c r="B236" s="11"/>
      <c r="C236" s="12"/>
      <c r="D236" s="17"/>
      <c r="E236" s="25"/>
      <c r="F236" s="25"/>
      <c r="G236" s="16"/>
      <c r="H236" s="17"/>
      <c r="I236" s="17"/>
      <c r="J236" s="17"/>
      <c r="K236" s="17"/>
      <c r="L236" s="26"/>
    </row>
    <row r="237" customFormat="false" ht="12.8" hidden="false" customHeight="false" outlineLevel="0" collapsed="false">
      <c r="A237" s="27"/>
      <c r="B237" s="11"/>
      <c r="C237" s="12"/>
      <c r="D237" s="17"/>
      <c r="E237" s="25"/>
      <c r="F237" s="25"/>
      <c r="G237" s="16"/>
      <c r="H237" s="17"/>
      <c r="I237" s="17"/>
      <c r="J237" s="17"/>
      <c r="K237" s="17"/>
      <c r="L237" s="26"/>
    </row>
    <row r="238" customFormat="false" ht="12.8" hidden="false" customHeight="false" outlineLevel="0" collapsed="false">
      <c r="A238" s="27"/>
      <c r="B238" s="11"/>
      <c r="C238" s="12"/>
      <c r="D238" s="17"/>
      <c r="E238" s="25"/>
      <c r="F238" s="25"/>
      <c r="G238" s="16"/>
      <c r="H238" s="17"/>
      <c r="I238" s="17"/>
      <c r="J238" s="17"/>
      <c r="K238" s="17"/>
      <c r="L238" s="26"/>
    </row>
    <row r="239" customFormat="false" ht="12.8" hidden="false" customHeight="false" outlineLevel="0" collapsed="false">
      <c r="A239" s="27"/>
      <c r="B239" s="11"/>
      <c r="C239" s="12"/>
      <c r="D239" s="17"/>
      <c r="E239" s="25"/>
      <c r="F239" s="25"/>
      <c r="G239" s="16"/>
      <c r="H239" s="17"/>
      <c r="I239" s="17"/>
      <c r="J239" s="17"/>
      <c r="K239" s="17"/>
      <c r="L239" s="26"/>
    </row>
    <row r="240" customFormat="false" ht="12.8" hidden="false" customHeight="false" outlineLevel="0" collapsed="false">
      <c r="A240" s="27"/>
      <c r="B240" s="11"/>
      <c r="C240" s="12"/>
      <c r="D240" s="17"/>
      <c r="E240" s="25"/>
      <c r="F240" s="25"/>
      <c r="G240" s="16"/>
      <c r="H240" s="17"/>
      <c r="I240" s="17"/>
      <c r="J240" s="17"/>
      <c r="K240" s="17"/>
      <c r="L240" s="26"/>
    </row>
    <row r="241" customFormat="false" ht="12.8" hidden="false" customHeight="false" outlineLevel="0" collapsed="false">
      <c r="A241" s="27"/>
      <c r="B241" s="11"/>
      <c r="C241" s="12"/>
      <c r="D241" s="17"/>
      <c r="E241" s="25"/>
      <c r="F241" s="25"/>
      <c r="G241" s="16"/>
      <c r="H241" s="17"/>
      <c r="I241" s="17"/>
      <c r="J241" s="17"/>
      <c r="K241" s="17"/>
      <c r="L241" s="26"/>
    </row>
    <row r="242" customFormat="false" ht="12.8" hidden="false" customHeight="false" outlineLevel="0" collapsed="false">
      <c r="A242" s="27"/>
      <c r="B242" s="11"/>
      <c r="C242" s="12"/>
      <c r="D242" s="17"/>
      <c r="E242" s="25"/>
      <c r="F242" s="25"/>
      <c r="G242" s="16"/>
      <c r="H242" s="17"/>
      <c r="I242" s="17"/>
      <c r="J242" s="17"/>
      <c r="K242" s="17"/>
      <c r="L242" s="26"/>
    </row>
    <row r="243" customFormat="false" ht="12.8" hidden="false" customHeight="false" outlineLevel="0" collapsed="false">
      <c r="A243" s="27"/>
      <c r="B243" s="11"/>
      <c r="C243" s="12"/>
      <c r="D243" s="17"/>
      <c r="E243" s="25"/>
      <c r="F243" s="25"/>
      <c r="G243" s="16"/>
      <c r="H243" s="17"/>
      <c r="I243" s="17"/>
      <c r="J243" s="17"/>
      <c r="K243" s="17"/>
      <c r="L243" s="26"/>
    </row>
    <row r="244" customFormat="false" ht="12.8" hidden="false" customHeight="false" outlineLevel="0" collapsed="false">
      <c r="A244" s="27"/>
      <c r="B244" s="11"/>
      <c r="C244" s="12"/>
      <c r="D244" s="17"/>
      <c r="E244" s="25"/>
      <c r="F244" s="25"/>
      <c r="G244" s="16"/>
      <c r="H244" s="17"/>
      <c r="I244" s="17"/>
      <c r="J244" s="17"/>
      <c r="K244" s="17"/>
      <c r="L244" s="26"/>
    </row>
    <row r="245" customFormat="false" ht="12.8" hidden="false" customHeight="false" outlineLevel="0" collapsed="false">
      <c r="A245" s="27"/>
      <c r="B245" s="11"/>
      <c r="C245" s="12"/>
      <c r="D245" s="17"/>
      <c r="E245" s="25"/>
      <c r="F245" s="25"/>
      <c r="G245" s="16"/>
      <c r="H245" s="17"/>
      <c r="I245" s="17"/>
      <c r="J245" s="17"/>
      <c r="K245" s="17"/>
      <c r="L245" s="26"/>
    </row>
    <row r="246" customFormat="false" ht="12.8" hidden="false" customHeight="false" outlineLevel="0" collapsed="false">
      <c r="A246" s="27"/>
      <c r="B246" s="11"/>
      <c r="C246" s="12"/>
      <c r="D246" s="17"/>
      <c r="E246" s="25"/>
      <c r="F246" s="25"/>
      <c r="G246" s="16"/>
      <c r="H246" s="17"/>
      <c r="I246" s="17"/>
      <c r="J246" s="17"/>
      <c r="K246" s="17"/>
      <c r="L246" s="26"/>
    </row>
    <row r="247" customFormat="false" ht="12.8" hidden="false" customHeight="false" outlineLevel="0" collapsed="false">
      <c r="A247" s="27"/>
      <c r="B247" s="11"/>
      <c r="C247" s="12"/>
      <c r="D247" s="17"/>
      <c r="E247" s="25"/>
      <c r="F247" s="25"/>
      <c r="G247" s="16"/>
      <c r="H247" s="17"/>
      <c r="I247" s="17"/>
      <c r="J247" s="17"/>
      <c r="K247" s="17"/>
      <c r="L247" s="26"/>
    </row>
    <row r="248" customFormat="false" ht="12.8" hidden="false" customHeight="false" outlineLevel="0" collapsed="false">
      <c r="A248" s="27"/>
      <c r="B248" s="11"/>
      <c r="C248" s="12"/>
      <c r="D248" s="17"/>
      <c r="E248" s="25"/>
      <c r="F248" s="25"/>
      <c r="G248" s="16"/>
      <c r="H248" s="17"/>
      <c r="I248" s="17"/>
      <c r="J248" s="17"/>
      <c r="K248" s="17"/>
      <c r="L248" s="26"/>
    </row>
    <row r="249" customFormat="false" ht="12.8" hidden="false" customHeight="false" outlineLevel="0" collapsed="false">
      <c r="A249" s="27"/>
      <c r="B249" s="11"/>
      <c r="C249" s="12"/>
      <c r="D249" s="17"/>
      <c r="E249" s="25"/>
      <c r="F249" s="25"/>
      <c r="G249" s="16"/>
      <c r="H249" s="17"/>
      <c r="I249" s="17"/>
      <c r="J249" s="17"/>
      <c r="K249" s="17"/>
      <c r="L249" s="26"/>
    </row>
    <row r="250" customFormat="false" ht="12.8" hidden="false" customHeight="false" outlineLevel="0" collapsed="false">
      <c r="A250" s="27"/>
      <c r="B250" s="11"/>
      <c r="C250" s="12"/>
      <c r="D250" s="17"/>
      <c r="E250" s="25"/>
      <c r="F250" s="25"/>
      <c r="G250" s="16"/>
      <c r="H250" s="17"/>
      <c r="I250" s="17"/>
      <c r="J250" s="17"/>
      <c r="K250" s="17"/>
      <c r="L250" s="26"/>
    </row>
    <row r="251" customFormat="false" ht="12.8" hidden="false" customHeight="false" outlineLevel="0" collapsed="false">
      <c r="A251" s="27"/>
      <c r="B251" s="11"/>
      <c r="C251" s="12"/>
      <c r="D251" s="17"/>
      <c r="E251" s="25"/>
      <c r="F251" s="25"/>
      <c r="G251" s="16"/>
      <c r="H251" s="17"/>
      <c r="I251" s="17"/>
      <c r="J251" s="17"/>
      <c r="K251" s="17"/>
      <c r="L251" s="26"/>
    </row>
    <row r="252" customFormat="false" ht="12.8" hidden="false" customHeight="false" outlineLevel="0" collapsed="false">
      <c r="A252" s="27"/>
      <c r="B252" s="11"/>
      <c r="C252" s="12"/>
      <c r="D252" s="17"/>
      <c r="E252" s="25"/>
      <c r="F252" s="25"/>
      <c r="G252" s="16"/>
      <c r="H252" s="17"/>
      <c r="I252" s="17"/>
      <c r="J252" s="17"/>
      <c r="K252" s="17"/>
      <c r="L252" s="26"/>
    </row>
    <row r="253" customFormat="false" ht="12.8" hidden="false" customHeight="false" outlineLevel="0" collapsed="false">
      <c r="A253" s="27"/>
      <c r="B253" s="11"/>
      <c r="C253" s="12"/>
      <c r="D253" s="17"/>
      <c r="E253" s="25"/>
      <c r="F253" s="25"/>
      <c r="G253" s="16"/>
      <c r="H253" s="17"/>
      <c r="I253" s="17"/>
      <c r="J253" s="17"/>
      <c r="K253" s="17"/>
      <c r="L253" s="26"/>
    </row>
    <row r="254" customFormat="false" ht="12.8" hidden="false" customHeight="false" outlineLevel="0" collapsed="false">
      <c r="A254" s="27"/>
      <c r="B254" s="11"/>
      <c r="C254" s="12"/>
      <c r="D254" s="17"/>
      <c r="E254" s="25"/>
      <c r="F254" s="25"/>
      <c r="G254" s="16"/>
      <c r="H254" s="17"/>
      <c r="I254" s="17"/>
      <c r="J254" s="17"/>
      <c r="K254" s="17"/>
      <c r="L254" s="26"/>
    </row>
    <row r="255" customFormat="false" ht="12.8" hidden="false" customHeight="false" outlineLevel="0" collapsed="false">
      <c r="A255" s="27"/>
      <c r="B255" s="11"/>
      <c r="C255" s="12"/>
      <c r="D255" s="17"/>
      <c r="E255" s="25"/>
      <c r="F255" s="25"/>
      <c r="G255" s="16"/>
      <c r="H255" s="17"/>
      <c r="I255" s="17"/>
      <c r="J255" s="17"/>
      <c r="K255" s="17"/>
      <c r="L255" s="26"/>
    </row>
    <row r="256" customFormat="false" ht="12.8" hidden="false" customHeight="false" outlineLevel="0" collapsed="false">
      <c r="A256" s="27"/>
      <c r="B256" s="11"/>
      <c r="C256" s="12"/>
      <c r="D256" s="17"/>
      <c r="E256" s="25"/>
      <c r="F256" s="25"/>
      <c r="G256" s="16"/>
      <c r="H256" s="17"/>
      <c r="I256" s="17"/>
      <c r="J256" s="17"/>
      <c r="K256" s="17"/>
      <c r="L256" s="26"/>
    </row>
    <row r="257" customFormat="false" ht="12.8" hidden="false" customHeight="false" outlineLevel="0" collapsed="false">
      <c r="A257" s="27"/>
      <c r="B257" s="11"/>
      <c r="C257" s="12"/>
      <c r="D257" s="17"/>
      <c r="E257" s="25"/>
      <c r="F257" s="25"/>
      <c r="G257" s="16"/>
      <c r="H257" s="17"/>
      <c r="I257" s="17"/>
      <c r="J257" s="17"/>
      <c r="K257" s="17"/>
      <c r="L257" s="26"/>
    </row>
    <row r="258" customFormat="false" ht="12.8" hidden="false" customHeight="false" outlineLevel="0" collapsed="false">
      <c r="A258" s="27"/>
      <c r="B258" s="11"/>
      <c r="C258" s="12"/>
      <c r="D258" s="17"/>
      <c r="E258" s="25"/>
      <c r="F258" s="25"/>
      <c r="G258" s="16"/>
      <c r="H258" s="17"/>
      <c r="I258" s="17"/>
      <c r="J258" s="17"/>
      <c r="K258" s="17"/>
      <c r="L258" s="26"/>
    </row>
    <row r="259" customFormat="false" ht="12.8" hidden="false" customHeight="false" outlineLevel="0" collapsed="false">
      <c r="A259" s="27"/>
      <c r="B259" s="11"/>
      <c r="C259" s="12"/>
      <c r="D259" s="17"/>
      <c r="E259" s="25"/>
      <c r="F259" s="25"/>
      <c r="G259" s="16"/>
      <c r="H259" s="17"/>
      <c r="I259" s="17"/>
      <c r="J259" s="17"/>
      <c r="K259" s="17"/>
      <c r="L259" s="26"/>
    </row>
    <row r="260" customFormat="false" ht="12.8" hidden="false" customHeight="false" outlineLevel="0" collapsed="false">
      <c r="A260" s="27"/>
      <c r="B260" s="11"/>
      <c r="C260" s="12"/>
      <c r="D260" s="17"/>
      <c r="E260" s="25"/>
      <c r="F260" s="25"/>
      <c r="G260" s="16"/>
      <c r="H260" s="17"/>
      <c r="I260" s="17"/>
      <c r="J260" s="17"/>
      <c r="K260" s="17"/>
      <c r="L260" s="26"/>
    </row>
    <row r="261" customFormat="false" ht="12.8" hidden="false" customHeight="false" outlineLevel="0" collapsed="false">
      <c r="A261" s="27"/>
      <c r="B261" s="11"/>
      <c r="C261" s="12"/>
      <c r="D261" s="17"/>
      <c r="E261" s="25"/>
      <c r="F261" s="25"/>
      <c r="G261" s="16"/>
      <c r="H261" s="17"/>
      <c r="I261" s="17"/>
      <c r="J261" s="17"/>
      <c r="K261" s="17"/>
      <c r="L261" s="26"/>
    </row>
    <row r="262" customFormat="false" ht="12.8" hidden="false" customHeight="false" outlineLevel="0" collapsed="false">
      <c r="A262" s="27"/>
      <c r="B262" s="11"/>
      <c r="C262" s="12"/>
      <c r="D262" s="17"/>
      <c r="E262" s="25"/>
      <c r="F262" s="25"/>
      <c r="G262" s="16"/>
      <c r="H262" s="17"/>
      <c r="I262" s="17"/>
      <c r="J262" s="17"/>
      <c r="K262" s="17"/>
      <c r="L262" s="26"/>
    </row>
    <row r="263" customFormat="false" ht="12.8" hidden="false" customHeight="false" outlineLevel="0" collapsed="false">
      <c r="A263" s="27"/>
      <c r="B263" s="11"/>
      <c r="C263" s="12"/>
      <c r="D263" s="17"/>
      <c r="E263" s="25"/>
      <c r="F263" s="25"/>
      <c r="G263" s="16"/>
      <c r="H263" s="17"/>
      <c r="I263" s="17"/>
      <c r="J263" s="17"/>
      <c r="K263" s="17"/>
      <c r="L263" s="26"/>
    </row>
    <row r="264" customFormat="false" ht="12.8" hidden="false" customHeight="false" outlineLevel="0" collapsed="false">
      <c r="A264" s="27"/>
      <c r="B264" s="11"/>
      <c r="C264" s="12"/>
      <c r="D264" s="17"/>
      <c r="E264" s="25"/>
      <c r="F264" s="25"/>
      <c r="G264" s="16"/>
      <c r="H264" s="17"/>
      <c r="I264" s="17"/>
      <c r="J264" s="17"/>
      <c r="K264" s="17"/>
      <c r="L264" s="26"/>
    </row>
    <row r="265" customFormat="false" ht="12.8" hidden="false" customHeight="false" outlineLevel="0" collapsed="false">
      <c r="A265" s="27"/>
      <c r="B265" s="11"/>
      <c r="C265" s="12"/>
      <c r="D265" s="17"/>
      <c r="E265" s="25"/>
      <c r="F265" s="25"/>
      <c r="G265" s="16"/>
      <c r="H265" s="17"/>
      <c r="I265" s="17"/>
      <c r="J265" s="17"/>
      <c r="K265" s="17"/>
      <c r="L265" s="26"/>
    </row>
    <row r="266" customFormat="false" ht="12.8" hidden="false" customHeight="false" outlineLevel="0" collapsed="false">
      <c r="A266" s="27"/>
      <c r="B266" s="11"/>
      <c r="C266" s="12"/>
      <c r="D266" s="17"/>
      <c r="E266" s="25"/>
      <c r="F266" s="25"/>
      <c r="G266" s="16"/>
      <c r="H266" s="17"/>
      <c r="I266" s="17"/>
      <c r="J266" s="17"/>
      <c r="K266" s="17"/>
      <c r="L266" s="26"/>
    </row>
    <row r="267" customFormat="false" ht="12.8" hidden="false" customHeight="false" outlineLevel="0" collapsed="false">
      <c r="A267" s="27"/>
      <c r="B267" s="11"/>
      <c r="C267" s="12"/>
      <c r="D267" s="17"/>
      <c r="E267" s="25"/>
      <c r="F267" s="25"/>
      <c r="G267" s="16"/>
      <c r="H267" s="17"/>
      <c r="I267" s="17"/>
      <c r="J267" s="17"/>
      <c r="K267" s="17"/>
      <c r="L267" s="26"/>
    </row>
    <row r="268" customFormat="false" ht="12.8" hidden="false" customHeight="false" outlineLevel="0" collapsed="false">
      <c r="A268" s="27"/>
      <c r="B268" s="11"/>
      <c r="C268" s="12"/>
      <c r="D268" s="17"/>
      <c r="E268" s="25"/>
      <c r="F268" s="25"/>
      <c r="G268" s="16"/>
      <c r="H268" s="17"/>
      <c r="I268" s="17"/>
      <c r="J268" s="17"/>
      <c r="K268" s="17"/>
      <c r="L268" s="26"/>
    </row>
    <row r="269" customFormat="false" ht="12.8" hidden="false" customHeight="false" outlineLevel="0" collapsed="false">
      <c r="A269" s="27"/>
      <c r="B269" s="11"/>
      <c r="C269" s="12"/>
      <c r="D269" s="17"/>
      <c r="E269" s="25"/>
      <c r="F269" s="25"/>
      <c r="G269" s="16"/>
      <c r="H269" s="17"/>
      <c r="I269" s="17"/>
      <c r="J269" s="17"/>
      <c r="K269" s="17"/>
      <c r="L269" s="26"/>
    </row>
    <row r="270" customFormat="false" ht="12.8" hidden="false" customHeight="false" outlineLevel="0" collapsed="false">
      <c r="A270" s="27"/>
      <c r="B270" s="11"/>
      <c r="C270" s="12"/>
      <c r="D270" s="17"/>
      <c r="E270" s="25"/>
      <c r="F270" s="25"/>
      <c r="G270" s="16"/>
      <c r="H270" s="17"/>
      <c r="I270" s="17"/>
      <c r="J270" s="17"/>
      <c r="K270" s="17"/>
      <c r="L270" s="26"/>
    </row>
    <row r="271" customFormat="false" ht="12.8" hidden="false" customHeight="false" outlineLevel="0" collapsed="false">
      <c r="A271" s="27"/>
      <c r="B271" s="11"/>
      <c r="C271" s="12"/>
      <c r="D271" s="17"/>
      <c r="E271" s="25"/>
      <c r="F271" s="25"/>
      <c r="G271" s="16"/>
      <c r="H271" s="17"/>
      <c r="I271" s="17"/>
      <c r="J271" s="17"/>
      <c r="K271" s="17"/>
      <c r="L271" s="26"/>
    </row>
    <row r="272" customFormat="false" ht="12.8" hidden="false" customHeight="false" outlineLevel="0" collapsed="false">
      <c r="A272" s="27"/>
      <c r="B272" s="11"/>
      <c r="C272" s="12"/>
      <c r="D272" s="17"/>
      <c r="E272" s="25"/>
      <c r="F272" s="25"/>
      <c r="G272" s="16"/>
      <c r="H272" s="17"/>
      <c r="I272" s="17"/>
      <c r="J272" s="17"/>
      <c r="K272" s="17"/>
      <c r="L272" s="26"/>
    </row>
    <row r="273" customFormat="false" ht="12.8" hidden="false" customHeight="false" outlineLevel="0" collapsed="false">
      <c r="A273" s="27"/>
      <c r="B273" s="11"/>
      <c r="C273" s="12"/>
      <c r="D273" s="17"/>
      <c r="E273" s="25"/>
      <c r="F273" s="25"/>
      <c r="G273" s="16"/>
      <c r="H273" s="17"/>
      <c r="I273" s="17"/>
      <c r="J273" s="17"/>
      <c r="K273" s="17"/>
      <c r="L273" s="26"/>
    </row>
    <row r="274" customFormat="false" ht="12.8" hidden="false" customHeight="false" outlineLevel="0" collapsed="false">
      <c r="A274" s="27"/>
      <c r="B274" s="11"/>
      <c r="C274" s="12"/>
      <c r="D274" s="17"/>
      <c r="E274" s="25"/>
      <c r="F274" s="25"/>
      <c r="G274" s="16"/>
      <c r="H274" s="17"/>
      <c r="I274" s="17"/>
      <c r="J274" s="17"/>
      <c r="K274" s="17"/>
      <c r="L274" s="26"/>
    </row>
    <row r="275" customFormat="false" ht="12.8" hidden="false" customHeight="false" outlineLevel="0" collapsed="false">
      <c r="A275" s="27"/>
      <c r="B275" s="11"/>
      <c r="C275" s="12"/>
      <c r="D275" s="17"/>
      <c r="E275" s="25"/>
      <c r="F275" s="25"/>
      <c r="G275" s="16"/>
      <c r="H275" s="17"/>
      <c r="I275" s="17"/>
      <c r="J275" s="17"/>
      <c r="K275" s="17"/>
      <c r="L275" s="26"/>
    </row>
    <row r="276" customFormat="false" ht="12.8" hidden="false" customHeight="false" outlineLevel="0" collapsed="false">
      <c r="A276" s="27"/>
      <c r="B276" s="11"/>
      <c r="C276" s="12"/>
      <c r="D276" s="17"/>
      <c r="E276" s="25"/>
      <c r="F276" s="25"/>
      <c r="G276" s="16"/>
      <c r="H276" s="17"/>
      <c r="I276" s="17"/>
      <c r="J276" s="17"/>
      <c r="K276" s="17"/>
      <c r="L276" s="26"/>
    </row>
    <row r="277" customFormat="false" ht="12.8" hidden="false" customHeight="false" outlineLevel="0" collapsed="false">
      <c r="A277" s="27"/>
      <c r="B277" s="11"/>
      <c r="C277" s="12"/>
      <c r="D277" s="17"/>
      <c r="E277" s="25"/>
      <c r="F277" s="25"/>
      <c r="G277" s="16"/>
      <c r="H277" s="17"/>
      <c r="I277" s="17"/>
      <c r="J277" s="17"/>
      <c r="K277" s="17"/>
      <c r="L277" s="26"/>
    </row>
    <row r="278" customFormat="false" ht="12.8" hidden="false" customHeight="false" outlineLevel="0" collapsed="false">
      <c r="A278" s="27"/>
      <c r="B278" s="11"/>
      <c r="C278" s="12"/>
      <c r="D278" s="17"/>
      <c r="E278" s="25"/>
      <c r="F278" s="25"/>
      <c r="G278" s="16"/>
      <c r="H278" s="17"/>
      <c r="I278" s="17"/>
      <c r="J278" s="17"/>
      <c r="K278" s="17"/>
      <c r="L278" s="26"/>
    </row>
    <row r="279" customFormat="false" ht="12.8" hidden="false" customHeight="false" outlineLevel="0" collapsed="false">
      <c r="A279" s="27"/>
      <c r="B279" s="11"/>
      <c r="C279" s="12"/>
      <c r="D279" s="17"/>
      <c r="E279" s="25"/>
      <c r="F279" s="25"/>
      <c r="G279" s="16"/>
      <c r="H279" s="17"/>
      <c r="I279" s="17"/>
      <c r="J279" s="17"/>
      <c r="K279" s="17"/>
      <c r="L279" s="26"/>
    </row>
    <row r="280" customFormat="false" ht="12.8" hidden="false" customHeight="false" outlineLevel="0" collapsed="false">
      <c r="A280" s="27"/>
      <c r="B280" s="11"/>
      <c r="C280" s="12"/>
      <c r="D280" s="17"/>
      <c r="E280" s="25"/>
      <c r="F280" s="25"/>
      <c r="G280" s="16"/>
      <c r="H280" s="17"/>
      <c r="I280" s="17"/>
      <c r="J280" s="17"/>
      <c r="K280" s="17"/>
      <c r="L280" s="26"/>
    </row>
    <row r="281" customFormat="false" ht="12.8" hidden="false" customHeight="false" outlineLevel="0" collapsed="false">
      <c r="A281" s="27"/>
      <c r="B281" s="11"/>
      <c r="C281" s="12"/>
      <c r="D281" s="17"/>
      <c r="E281" s="25"/>
      <c r="F281" s="25"/>
      <c r="G281" s="16"/>
      <c r="H281" s="17"/>
      <c r="I281" s="17"/>
      <c r="J281" s="17"/>
      <c r="K281" s="17"/>
      <c r="L281" s="26"/>
    </row>
    <row r="282" customFormat="false" ht="12.8" hidden="false" customHeight="false" outlineLevel="0" collapsed="false">
      <c r="A282" s="27"/>
      <c r="B282" s="11"/>
      <c r="C282" s="12"/>
      <c r="D282" s="17"/>
      <c r="E282" s="25"/>
      <c r="F282" s="25"/>
      <c r="G282" s="16"/>
      <c r="H282" s="17"/>
      <c r="I282" s="17"/>
      <c r="J282" s="17"/>
      <c r="K282" s="17"/>
      <c r="L282" s="26"/>
    </row>
    <row r="283" customFormat="false" ht="12.8" hidden="false" customHeight="false" outlineLevel="0" collapsed="false">
      <c r="A283" s="27"/>
      <c r="B283" s="11"/>
      <c r="C283" s="12"/>
      <c r="D283" s="17"/>
      <c r="E283" s="25"/>
      <c r="F283" s="25"/>
      <c r="G283" s="16"/>
      <c r="H283" s="17"/>
      <c r="I283" s="17"/>
      <c r="J283" s="17"/>
      <c r="K283" s="17"/>
      <c r="L283" s="26"/>
    </row>
    <row r="284" customFormat="false" ht="12.8" hidden="false" customHeight="false" outlineLevel="0" collapsed="false">
      <c r="A284" s="27"/>
      <c r="B284" s="11"/>
      <c r="C284" s="12"/>
      <c r="D284" s="17"/>
      <c r="E284" s="25"/>
      <c r="F284" s="25"/>
      <c r="G284" s="16"/>
      <c r="H284" s="17"/>
      <c r="I284" s="17"/>
      <c r="J284" s="17"/>
      <c r="K284" s="17"/>
      <c r="L284" s="26"/>
    </row>
    <row r="285" customFormat="false" ht="12.8" hidden="false" customHeight="false" outlineLevel="0" collapsed="false">
      <c r="A285" s="27"/>
      <c r="B285" s="11"/>
      <c r="C285" s="12"/>
      <c r="D285" s="17"/>
      <c r="E285" s="25"/>
      <c r="F285" s="25"/>
      <c r="G285" s="16"/>
      <c r="H285" s="17"/>
      <c r="I285" s="17"/>
      <c r="J285" s="17"/>
      <c r="K285" s="17"/>
      <c r="L285" s="26"/>
    </row>
    <row r="286" customFormat="false" ht="12.8" hidden="false" customHeight="false" outlineLevel="0" collapsed="false">
      <c r="A286" s="27"/>
      <c r="B286" s="11"/>
      <c r="C286" s="12"/>
      <c r="D286" s="17"/>
      <c r="E286" s="25"/>
      <c r="F286" s="25"/>
      <c r="G286" s="16"/>
      <c r="H286" s="17"/>
      <c r="I286" s="17"/>
      <c r="J286" s="17"/>
      <c r="K286" s="17"/>
      <c r="L286" s="26"/>
    </row>
    <row r="287" customFormat="false" ht="12.8" hidden="false" customHeight="false" outlineLevel="0" collapsed="false">
      <c r="A287" s="27"/>
      <c r="B287" s="11"/>
      <c r="C287" s="12"/>
      <c r="D287" s="17"/>
      <c r="E287" s="25"/>
      <c r="F287" s="25"/>
      <c r="G287" s="16"/>
      <c r="H287" s="17"/>
      <c r="I287" s="17"/>
      <c r="J287" s="17"/>
      <c r="K287" s="17"/>
      <c r="L287" s="26"/>
    </row>
    <row r="288" customFormat="false" ht="12.8" hidden="false" customHeight="false" outlineLevel="0" collapsed="false">
      <c r="A288" s="27"/>
      <c r="B288" s="11"/>
      <c r="C288" s="12"/>
      <c r="D288" s="17"/>
      <c r="E288" s="25"/>
      <c r="F288" s="25"/>
      <c r="G288" s="16"/>
      <c r="H288" s="17"/>
      <c r="I288" s="17"/>
      <c r="J288" s="17"/>
      <c r="K288" s="17"/>
      <c r="L288" s="26"/>
    </row>
    <row r="289" customFormat="false" ht="12.8" hidden="false" customHeight="false" outlineLevel="0" collapsed="false">
      <c r="A289" s="27"/>
      <c r="B289" s="11"/>
      <c r="C289" s="12"/>
      <c r="D289" s="17"/>
      <c r="E289" s="25"/>
      <c r="F289" s="25"/>
      <c r="G289" s="16"/>
      <c r="H289" s="17"/>
      <c r="I289" s="17"/>
      <c r="J289" s="17"/>
      <c r="K289" s="17"/>
      <c r="L289" s="26"/>
    </row>
    <row r="290" customFormat="false" ht="12.8" hidden="false" customHeight="false" outlineLevel="0" collapsed="false">
      <c r="A290" s="27"/>
      <c r="B290" s="11"/>
      <c r="C290" s="12"/>
      <c r="D290" s="17"/>
      <c r="E290" s="25"/>
      <c r="F290" s="25"/>
      <c r="G290" s="16"/>
      <c r="H290" s="17"/>
      <c r="I290" s="17"/>
      <c r="J290" s="17"/>
      <c r="K290" s="17"/>
      <c r="L290" s="26"/>
    </row>
    <row r="291" customFormat="false" ht="12.8" hidden="false" customHeight="false" outlineLevel="0" collapsed="false">
      <c r="A291" s="27"/>
      <c r="B291" s="11"/>
      <c r="C291" s="12"/>
      <c r="D291" s="17"/>
      <c r="E291" s="25"/>
      <c r="F291" s="25"/>
      <c r="G291" s="16"/>
      <c r="H291" s="17"/>
      <c r="I291" s="17"/>
      <c r="J291" s="17"/>
      <c r="K291" s="17"/>
      <c r="L291" s="26"/>
    </row>
    <row r="292" customFormat="false" ht="12.8" hidden="false" customHeight="false" outlineLevel="0" collapsed="false">
      <c r="A292" s="27"/>
      <c r="B292" s="11"/>
      <c r="C292" s="12"/>
      <c r="D292" s="17"/>
      <c r="E292" s="25"/>
      <c r="F292" s="25"/>
      <c r="G292" s="16"/>
      <c r="H292" s="17"/>
      <c r="I292" s="17"/>
      <c r="J292" s="17"/>
      <c r="K292" s="17"/>
      <c r="L292" s="26"/>
    </row>
    <row r="293" customFormat="false" ht="12.8" hidden="false" customHeight="false" outlineLevel="0" collapsed="false">
      <c r="A293" s="27"/>
      <c r="B293" s="11"/>
      <c r="C293" s="12"/>
      <c r="D293" s="17"/>
      <c r="E293" s="25"/>
      <c r="F293" s="25"/>
      <c r="G293" s="16"/>
      <c r="H293" s="17"/>
      <c r="I293" s="17"/>
      <c r="J293" s="17"/>
      <c r="K293" s="17"/>
      <c r="L293" s="26"/>
    </row>
    <row r="294" customFormat="false" ht="12.8" hidden="false" customHeight="false" outlineLevel="0" collapsed="false">
      <c r="A294" s="27"/>
      <c r="B294" s="11"/>
      <c r="C294" s="12"/>
      <c r="D294" s="17"/>
      <c r="E294" s="25"/>
      <c r="F294" s="25"/>
      <c r="G294" s="16"/>
      <c r="H294" s="17"/>
      <c r="I294" s="17"/>
      <c r="J294" s="17"/>
      <c r="K294" s="17"/>
      <c r="L294" s="26"/>
    </row>
    <row r="295" customFormat="false" ht="12.8" hidden="false" customHeight="false" outlineLevel="0" collapsed="false">
      <c r="A295" s="27"/>
      <c r="B295" s="11"/>
      <c r="C295" s="12"/>
      <c r="D295" s="17"/>
      <c r="E295" s="25"/>
      <c r="F295" s="25"/>
      <c r="G295" s="16"/>
      <c r="H295" s="17"/>
      <c r="I295" s="17"/>
      <c r="J295" s="17"/>
      <c r="K295" s="17"/>
      <c r="L295" s="26"/>
    </row>
    <row r="296" customFormat="false" ht="12.8" hidden="false" customHeight="false" outlineLevel="0" collapsed="false">
      <c r="A296" s="27"/>
      <c r="B296" s="11"/>
      <c r="C296" s="12"/>
      <c r="D296" s="17"/>
      <c r="E296" s="25"/>
      <c r="F296" s="25"/>
      <c r="G296" s="16"/>
      <c r="H296" s="17"/>
      <c r="I296" s="17"/>
      <c r="J296" s="17"/>
      <c r="K296" s="17"/>
      <c r="L296" s="26"/>
    </row>
    <row r="297" customFormat="false" ht="12.8" hidden="false" customHeight="false" outlineLevel="0" collapsed="false">
      <c r="A297" s="27"/>
      <c r="B297" s="11"/>
      <c r="C297" s="12"/>
      <c r="D297" s="17"/>
      <c r="E297" s="25"/>
      <c r="F297" s="25"/>
      <c r="G297" s="16"/>
      <c r="H297" s="17"/>
      <c r="I297" s="17"/>
      <c r="J297" s="17"/>
      <c r="K297" s="17"/>
      <c r="L297" s="26"/>
    </row>
    <row r="298" customFormat="false" ht="12.8" hidden="false" customHeight="false" outlineLevel="0" collapsed="false">
      <c r="A298" s="27"/>
      <c r="B298" s="11"/>
      <c r="C298" s="12"/>
      <c r="D298" s="17"/>
      <c r="E298" s="25"/>
      <c r="F298" s="25"/>
      <c r="G298" s="16"/>
      <c r="H298" s="17"/>
      <c r="I298" s="17"/>
      <c r="J298" s="17"/>
      <c r="K298" s="17"/>
      <c r="L298" s="26"/>
    </row>
    <row r="299" customFormat="false" ht="12.8" hidden="false" customHeight="false" outlineLevel="0" collapsed="false">
      <c r="A299" s="27"/>
      <c r="B299" s="11"/>
      <c r="C299" s="12"/>
      <c r="D299" s="17"/>
      <c r="E299" s="25"/>
      <c r="F299" s="25"/>
      <c r="G299" s="16"/>
      <c r="H299" s="17"/>
      <c r="I299" s="17"/>
      <c r="J299" s="17"/>
      <c r="K299" s="17"/>
      <c r="L299" s="26"/>
    </row>
    <row r="300" customFormat="false" ht="12.8" hidden="false" customHeight="false" outlineLevel="0" collapsed="false">
      <c r="A300" s="27"/>
      <c r="B300" s="11"/>
      <c r="C300" s="12"/>
      <c r="D300" s="17"/>
      <c r="E300" s="25"/>
      <c r="F300" s="25"/>
      <c r="G300" s="16"/>
      <c r="H300" s="17"/>
      <c r="I300" s="17"/>
      <c r="J300" s="17"/>
      <c r="K300" s="17"/>
      <c r="L300" s="26"/>
    </row>
    <row r="301" customFormat="false" ht="12.8" hidden="false" customHeight="false" outlineLevel="0" collapsed="false">
      <c r="C301" s="12"/>
    </row>
    <row r="302" customFormat="false" ht="12.8" hidden="false" customHeight="false" outlineLevel="0" collapsed="false">
      <c r="C302" s="12"/>
    </row>
  </sheetData>
  <conditionalFormatting sqref="C2:C302 E2:F2">
    <cfRule type="containsText" priority="2" operator="containsText" aboveAverage="0" equalAverage="0" bottom="0" percent="0" rank="0" text="Easy" dxfId="0">
      <formula>NOT(ISERROR(SEARCH("Easy",C2)))</formula>
    </cfRule>
    <cfRule type="containsText" priority="3" operator="containsText" aboveAverage="0" equalAverage="0" bottom="0" percent="0" rank="0" text="Medium" dxfId="1">
      <formula>NOT(ISERROR(SEARCH("Medium",C2)))</formula>
    </cfRule>
    <cfRule type="containsText" priority="4" operator="containsText" aboveAverage="0" equalAverage="0" bottom="0" percent="0" rank="0" text="Hard" dxfId="2">
      <formula>NOT(ISERROR(SEARCH("Hard",C2)))</formula>
    </cfRule>
  </conditionalFormatting>
  <conditionalFormatting sqref="G3:G300">
    <cfRule type="containsText" priority="5" operator="containsText" aboveAverage="0" equalAverage="0" bottom="0" percent="0" rank="0" text="No" dxfId="3">
      <formula>NOT(ISERROR(SEARCH("No",G3)))</formula>
    </cfRule>
    <cfRule type="containsText" priority="6" operator="containsText" aboveAverage="0" equalAverage="0" bottom="0" percent="0" rank="0" text="Yes" dxfId="4">
      <formula>NOT(ISERROR(SEARCH("Yes",G3)))</formula>
    </cfRule>
  </conditionalFormatting>
  <conditionalFormatting sqref="G3:G5">
    <cfRule type="containsText" priority="7" operator="containsText" aboveAverage="0" equalAverage="0" bottom="0" percent="0" rank="0" text="No" dxfId="3">
      <formula>NOT(ISERROR(SEARCH("No",G3)))</formula>
    </cfRule>
    <cfRule type="containsText" priority="8" operator="containsText" aboveAverage="0" equalAverage="0" bottom="0" percent="0" rank="0" text="Yes" dxfId="4">
      <formula>NOT(ISERROR(SEARCH("Yes",G3)))</formula>
    </cfRule>
  </conditionalFormatting>
  <dataValidations count="3">
    <dataValidation allowBlank="true" errorStyle="stop" operator="equal" showDropDown="false" showErrorMessage="true" showInputMessage="false" sqref="G1:G1003" type="list">
      <formula1>"Yes,No"</formula1>
      <formula2>0</formula2>
    </dataValidation>
    <dataValidation allowBlank="true" errorStyle="stop" operator="equal" showDropDown="false" showErrorMessage="true" showInputMessage="false" sqref="C3:C302" type="list">
      <formula1>"Easy,Medium,Hard"</formula1>
      <formula2>0</formula2>
    </dataValidation>
    <dataValidation allowBlank="true" errorStyle="stop" operator="equal" showDropDown="false" showErrorMessage="true" showInputMessage="false" sqref="C2 E2:F2" type="list">
      <formula1>"Easy,Medium,Hard"</formula1>
      <formula2>0</formula2>
    </dataValidation>
  </dataValidations>
  <hyperlinks>
    <hyperlink ref="B1" r:id="rId1" display="DSA-Notes"/>
    <hyperlink ref="B3" r:id="rId2" display="2SUM"/>
    <hyperlink ref="B4" r:id="rId3" display="contains-duplicate"/>
    <hyperlink ref="B5" r:id="rId4" display="contains-duplicate-ii"/>
    <hyperlink ref="B6" r:id="rId5" display="valid-anagram"/>
    <hyperlink ref="B7" r:id="rId6" display="347. Top K Frequent Elements"/>
    <hyperlink ref="B8" r:id="rId7" display="Group Anagrams"/>
    <hyperlink ref="B9" r:id="rId8" display="product-of-array-except-self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26.71"/>
    <col collapsed="false" customWidth="true" hidden="false" outlineLevel="0" max="3" min="3" style="1" width="33.52"/>
    <col collapsed="false" customWidth="true" hidden="false" outlineLevel="0" max="4" min="4" style="1" width="24.21"/>
  </cols>
  <sheetData>
    <row r="1" customFormat="false" ht="15" hidden="false" customHeight="false" outlineLevel="0" collapsed="false">
      <c r="A1" s="9" t="s">
        <v>1</v>
      </c>
      <c r="B1" s="9" t="s">
        <v>38</v>
      </c>
      <c r="C1" s="9" t="s">
        <v>39</v>
      </c>
      <c r="D1" s="9" t="s">
        <v>3</v>
      </c>
    </row>
    <row r="2" customFormat="false" ht="12.8" hidden="false" customHeight="false" outlineLevel="0" collapsed="false">
      <c r="A2" s="28" t="n">
        <f aca="false">ROW()-1</f>
        <v>1</v>
      </c>
      <c r="B2" s="20" t="s">
        <v>40</v>
      </c>
      <c r="C2" s="28" t="s">
        <v>41</v>
      </c>
      <c r="D2" s="12" t="s">
        <v>14</v>
      </c>
    </row>
    <row r="3" customFormat="false" ht="12.8" hidden="false" customHeight="false" outlineLevel="0" collapsed="false">
      <c r="A3" s="20" t="n">
        <f aca="false">ROW()-1</f>
        <v>2</v>
      </c>
      <c r="B3" s="20" t="s">
        <v>18</v>
      </c>
      <c r="C3" s="20" t="s">
        <v>42</v>
      </c>
      <c r="D3" s="12" t="s">
        <v>14</v>
      </c>
    </row>
    <row r="4" customFormat="false" ht="12.8" hidden="false" customHeight="false" outlineLevel="0" collapsed="false">
      <c r="A4" s="20" t="n">
        <f aca="false">ROW()-1</f>
        <v>3</v>
      </c>
      <c r="B4" s="20" t="s">
        <v>21</v>
      </c>
      <c r="C4" s="20" t="s">
        <v>43</v>
      </c>
      <c r="D4" s="12" t="s">
        <v>14</v>
      </c>
    </row>
    <row r="5" customFormat="false" ht="12.8" hidden="false" customHeight="false" outlineLevel="0" collapsed="false">
      <c r="A5" s="20" t="n">
        <f aca="false">ROW()-1</f>
        <v>4</v>
      </c>
      <c r="B5" s="22" t="s">
        <v>28</v>
      </c>
      <c r="C5" s="20" t="s">
        <v>44</v>
      </c>
      <c r="D5" s="12" t="s">
        <v>29</v>
      </c>
    </row>
    <row r="6" customFormat="false" ht="12.8" hidden="false" customHeight="false" outlineLevel="0" collapsed="false">
      <c r="A6" s="20" t="n">
        <f aca="false">ROW()-1</f>
        <v>5</v>
      </c>
      <c r="B6" s="11" t="s">
        <v>25</v>
      </c>
      <c r="C6" s="20" t="s">
        <v>45</v>
      </c>
      <c r="D6" s="12" t="s">
        <v>14</v>
      </c>
    </row>
    <row r="7" customFormat="false" ht="12.8" hidden="false" customHeight="false" outlineLevel="0" collapsed="false">
      <c r="A7" s="20" t="n">
        <f aca="false">ROW()-1</f>
        <v>6</v>
      </c>
      <c r="B7" s="20"/>
      <c r="C7" s="20"/>
      <c r="D7" s="12"/>
    </row>
    <row r="8" customFormat="false" ht="12.8" hidden="false" customHeight="false" outlineLevel="0" collapsed="false">
      <c r="A8" s="20" t="n">
        <f aca="false">ROW()-1</f>
        <v>7</v>
      </c>
      <c r="B8" s="20"/>
      <c r="C8" s="20"/>
      <c r="D8" s="12"/>
    </row>
    <row r="9" customFormat="false" ht="12.8" hidden="false" customHeight="false" outlineLevel="0" collapsed="false">
      <c r="A9" s="20" t="n">
        <f aca="false">ROW()-1</f>
        <v>8</v>
      </c>
      <c r="B9" s="20"/>
      <c r="C9" s="20"/>
      <c r="D9" s="12"/>
    </row>
    <row r="10" customFormat="false" ht="12.8" hidden="false" customHeight="false" outlineLevel="0" collapsed="false">
      <c r="A10" s="20" t="n">
        <f aca="false">ROW()-1</f>
        <v>9</v>
      </c>
      <c r="B10" s="20"/>
      <c r="C10" s="20"/>
      <c r="D10" s="12"/>
    </row>
    <row r="11" customFormat="false" ht="12.8" hidden="false" customHeight="false" outlineLevel="0" collapsed="false">
      <c r="A11" s="20" t="n">
        <f aca="false">ROW()-1</f>
        <v>10</v>
      </c>
      <c r="B11" s="20"/>
      <c r="C11" s="20"/>
      <c r="D11" s="12"/>
    </row>
    <row r="12" customFormat="false" ht="12.8" hidden="false" customHeight="false" outlineLevel="0" collapsed="false">
      <c r="A12" s="20" t="n">
        <f aca="false">ROW()-1</f>
        <v>11</v>
      </c>
      <c r="B12" s="20"/>
      <c r="C12" s="20"/>
      <c r="D12" s="12"/>
    </row>
    <row r="13" customFormat="false" ht="12.8" hidden="false" customHeight="false" outlineLevel="0" collapsed="false">
      <c r="A13" s="20" t="n">
        <f aca="false">ROW()-1</f>
        <v>12</v>
      </c>
      <c r="B13" s="20"/>
      <c r="C13" s="20"/>
      <c r="D13" s="12"/>
    </row>
    <row r="14" customFormat="false" ht="12.8" hidden="false" customHeight="false" outlineLevel="0" collapsed="false">
      <c r="A14" s="20" t="n">
        <f aca="false">ROW()-1</f>
        <v>13</v>
      </c>
      <c r="B14" s="20"/>
      <c r="C14" s="20"/>
      <c r="D14" s="12"/>
    </row>
    <row r="15" customFormat="false" ht="12.8" hidden="false" customHeight="false" outlineLevel="0" collapsed="false">
      <c r="A15" s="20" t="n">
        <f aca="false">ROW()-1</f>
        <v>14</v>
      </c>
      <c r="B15" s="20"/>
      <c r="C15" s="20"/>
      <c r="D15" s="12"/>
    </row>
    <row r="16" customFormat="false" ht="12.8" hidden="false" customHeight="false" outlineLevel="0" collapsed="false">
      <c r="A16" s="20" t="n">
        <f aca="false">ROW()-1</f>
        <v>15</v>
      </c>
      <c r="B16" s="20"/>
      <c r="C16" s="20"/>
      <c r="D16" s="12"/>
    </row>
    <row r="17" customFormat="false" ht="12.8" hidden="false" customHeight="false" outlineLevel="0" collapsed="false">
      <c r="A17" s="20" t="n">
        <f aca="false">ROW()-1</f>
        <v>16</v>
      </c>
      <c r="B17" s="20"/>
      <c r="C17" s="20"/>
      <c r="D17" s="12"/>
    </row>
    <row r="18" customFormat="false" ht="12.8" hidden="false" customHeight="false" outlineLevel="0" collapsed="false">
      <c r="A18" s="20" t="n">
        <f aca="false">ROW()-1</f>
        <v>17</v>
      </c>
      <c r="B18" s="20"/>
      <c r="C18" s="20"/>
      <c r="D18" s="12"/>
    </row>
    <row r="19" customFormat="false" ht="12.8" hidden="false" customHeight="false" outlineLevel="0" collapsed="false">
      <c r="A19" s="20" t="n">
        <f aca="false">ROW()-1</f>
        <v>18</v>
      </c>
      <c r="B19" s="20"/>
      <c r="C19" s="20"/>
      <c r="D19" s="12"/>
    </row>
    <row r="20" customFormat="false" ht="12.8" hidden="false" customHeight="false" outlineLevel="0" collapsed="false">
      <c r="A20" s="20" t="n">
        <f aca="false">ROW()-1</f>
        <v>19</v>
      </c>
      <c r="B20" s="20"/>
      <c r="C20" s="20"/>
      <c r="D20" s="12"/>
    </row>
    <row r="21" customFormat="false" ht="12.8" hidden="false" customHeight="false" outlineLevel="0" collapsed="false">
      <c r="A21" s="20" t="n">
        <f aca="false">ROW()-1</f>
        <v>20</v>
      </c>
      <c r="B21" s="20"/>
      <c r="C21" s="20"/>
      <c r="D21" s="12"/>
    </row>
    <row r="22" customFormat="false" ht="12.8" hidden="false" customHeight="false" outlineLevel="0" collapsed="false">
      <c r="A22" s="20" t="n">
        <f aca="false">ROW()-1</f>
        <v>21</v>
      </c>
      <c r="B22" s="20"/>
      <c r="C22" s="20"/>
      <c r="D22" s="12"/>
    </row>
    <row r="23" customFormat="false" ht="12.8" hidden="false" customHeight="false" outlineLevel="0" collapsed="false">
      <c r="A23" s="20" t="n">
        <f aca="false">ROW()-1</f>
        <v>22</v>
      </c>
      <c r="B23" s="20"/>
      <c r="C23" s="20"/>
      <c r="D23" s="12"/>
    </row>
    <row r="24" customFormat="false" ht="12.8" hidden="false" customHeight="false" outlineLevel="0" collapsed="false">
      <c r="A24" s="20" t="n">
        <f aca="false">ROW()-1</f>
        <v>23</v>
      </c>
      <c r="B24" s="20"/>
      <c r="C24" s="20"/>
      <c r="D24" s="12"/>
    </row>
    <row r="25" customFormat="false" ht="12.8" hidden="false" customHeight="false" outlineLevel="0" collapsed="false">
      <c r="A25" s="20" t="n">
        <f aca="false">ROW()-1</f>
        <v>24</v>
      </c>
      <c r="B25" s="20"/>
      <c r="C25" s="20"/>
      <c r="D25" s="12"/>
    </row>
    <row r="26" customFormat="false" ht="12.8" hidden="false" customHeight="false" outlineLevel="0" collapsed="false">
      <c r="A26" s="20" t="n">
        <f aca="false">ROW()-1</f>
        <v>25</v>
      </c>
      <c r="B26" s="20"/>
      <c r="C26" s="20"/>
      <c r="D26" s="12"/>
    </row>
    <row r="27" customFormat="false" ht="12.8" hidden="false" customHeight="false" outlineLevel="0" collapsed="false">
      <c r="A27" s="20" t="n">
        <f aca="false">ROW()-1</f>
        <v>26</v>
      </c>
      <c r="B27" s="20"/>
      <c r="C27" s="20"/>
      <c r="D27" s="12"/>
    </row>
    <row r="28" customFormat="false" ht="12.8" hidden="false" customHeight="false" outlineLevel="0" collapsed="false">
      <c r="A28" s="20" t="n">
        <f aca="false">ROW()-1</f>
        <v>27</v>
      </c>
      <c r="B28" s="20"/>
      <c r="C28" s="20"/>
      <c r="D28" s="12"/>
    </row>
    <row r="29" customFormat="false" ht="12.8" hidden="false" customHeight="false" outlineLevel="0" collapsed="false">
      <c r="A29" s="20" t="n">
        <f aca="false">ROW()-1</f>
        <v>28</v>
      </c>
      <c r="B29" s="20"/>
      <c r="C29" s="20"/>
      <c r="D29" s="12"/>
    </row>
    <row r="30" customFormat="false" ht="12.8" hidden="false" customHeight="false" outlineLevel="0" collapsed="false">
      <c r="A30" s="20" t="n">
        <f aca="false">ROW()-1</f>
        <v>29</v>
      </c>
      <c r="B30" s="20"/>
      <c r="C30" s="20"/>
      <c r="D30" s="12"/>
    </row>
    <row r="31" customFormat="false" ht="12.8" hidden="false" customHeight="false" outlineLevel="0" collapsed="false">
      <c r="A31" s="20" t="n">
        <f aca="false">ROW()-1</f>
        <v>30</v>
      </c>
      <c r="B31" s="20"/>
      <c r="C31" s="20"/>
      <c r="D31" s="12"/>
    </row>
    <row r="32" customFormat="false" ht="12.8" hidden="false" customHeight="false" outlineLevel="0" collapsed="false">
      <c r="A32" s="20" t="n">
        <f aca="false">ROW()-1</f>
        <v>31</v>
      </c>
      <c r="B32" s="20"/>
      <c r="C32" s="20"/>
      <c r="D32" s="12"/>
    </row>
    <row r="33" customFormat="false" ht="12.8" hidden="false" customHeight="false" outlineLevel="0" collapsed="false">
      <c r="A33" s="20" t="n">
        <f aca="false">ROW()-1</f>
        <v>32</v>
      </c>
      <c r="B33" s="20"/>
      <c r="C33" s="20"/>
      <c r="D33" s="12"/>
    </row>
    <row r="34" customFormat="false" ht="12.8" hidden="false" customHeight="false" outlineLevel="0" collapsed="false">
      <c r="A34" s="20" t="n">
        <f aca="false">ROW()-1</f>
        <v>33</v>
      </c>
      <c r="B34" s="20"/>
      <c r="C34" s="20"/>
      <c r="D34" s="12"/>
    </row>
    <row r="35" customFormat="false" ht="12.8" hidden="false" customHeight="false" outlineLevel="0" collapsed="false">
      <c r="A35" s="20" t="n">
        <f aca="false">ROW()-1</f>
        <v>34</v>
      </c>
      <c r="B35" s="20"/>
      <c r="C35" s="20"/>
      <c r="D35" s="12"/>
    </row>
    <row r="36" customFormat="false" ht="12.8" hidden="false" customHeight="false" outlineLevel="0" collapsed="false">
      <c r="A36" s="20" t="n">
        <f aca="false">ROW()-1</f>
        <v>35</v>
      </c>
      <c r="B36" s="20"/>
      <c r="C36" s="20"/>
      <c r="D36" s="12"/>
    </row>
    <row r="37" customFormat="false" ht="12.8" hidden="false" customHeight="false" outlineLevel="0" collapsed="false">
      <c r="A37" s="20" t="n">
        <f aca="false">ROW()-1</f>
        <v>36</v>
      </c>
      <c r="B37" s="20"/>
      <c r="C37" s="20"/>
      <c r="D37" s="12"/>
    </row>
    <row r="38" customFormat="false" ht="12.8" hidden="false" customHeight="false" outlineLevel="0" collapsed="false">
      <c r="A38" s="20" t="n">
        <f aca="false">ROW()-1</f>
        <v>37</v>
      </c>
      <c r="B38" s="20"/>
      <c r="C38" s="20"/>
      <c r="D38" s="12"/>
    </row>
    <row r="39" customFormat="false" ht="12.8" hidden="false" customHeight="false" outlineLevel="0" collapsed="false">
      <c r="A39" s="20" t="n">
        <f aca="false">ROW()-1</f>
        <v>38</v>
      </c>
      <c r="B39" s="20"/>
      <c r="C39" s="20"/>
      <c r="D39" s="12"/>
    </row>
    <row r="40" customFormat="false" ht="12.8" hidden="false" customHeight="false" outlineLevel="0" collapsed="false">
      <c r="A40" s="20" t="n">
        <f aca="false">ROW()-1</f>
        <v>39</v>
      </c>
      <c r="B40" s="20"/>
      <c r="C40" s="20"/>
      <c r="D40" s="12"/>
    </row>
    <row r="41" customFormat="false" ht="12.8" hidden="false" customHeight="false" outlineLevel="0" collapsed="false">
      <c r="A41" s="20" t="n">
        <f aca="false">ROW()-1</f>
        <v>40</v>
      </c>
      <c r="B41" s="20"/>
      <c r="C41" s="20"/>
      <c r="D41" s="12"/>
    </row>
    <row r="42" customFormat="false" ht="12.8" hidden="false" customHeight="false" outlineLevel="0" collapsed="false">
      <c r="A42" s="20" t="n">
        <f aca="false">ROW()-1</f>
        <v>41</v>
      </c>
      <c r="B42" s="20"/>
      <c r="C42" s="20"/>
      <c r="D42" s="12"/>
    </row>
    <row r="43" customFormat="false" ht="12.8" hidden="false" customHeight="false" outlineLevel="0" collapsed="false">
      <c r="A43" s="20" t="n">
        <f aca="false">ROW()-1</f>
        <v>42</v>
      </c>
      <c r="B43" s="20"/>
      <c r="C43" s="20"/>
      <c r="D43" s="12"/>
    </row>
    <row r="44" customFormat="false" ht="12.8" hidden="false" customHeight="false" outlineLevel="0" collapsed="false">
      <c r="A44" s="20" t="n">
        <f aca="false">ROW()-1</f>
        <v>43</v>
      </c>
      <c r="B44" s="20"/>
      <c r="C44" s="20"/>
      <c r="D44" s="12"/>
    </row>
    <row r="45" customFormat="false" ht="12.8" hidden="false" customHeight="false" outlineLevel="0" collapsed="false">
      <c r="A45" s="20" t="n">
        <f aca="false">ROW()-1</f>
        <v>44</v>
      </c>
      <c r="B45" s="20"/>
      <c r="C45" s="20"/>
      <c r="D45" s="12"/>
    </row>
    <row r="46" customFormat="false" ht="12.8" hidden="false" customHeight="false" outlineLevel="0" collapsed="false">
      <c r="A46" s="20" t="n">
        <f aca="false">ROW()-1</f>
        <v>45</v>
      </c>
      <c r="B46" s="20"/>
      <c r="C46" s="20"/>
      <c r="D46" s="12"/>
    </row>
    <row r="47" customFormat="false" ht="12.8" hidden="false" customHeight="false" outlineLevel="0" collapsed="false">
      <c r="A47" s="20" t="n">
        <f aca="false">ROW()-1</f>
        <v>46</v>
      </c>
      <c r="B47" s="20"/>
      <c r="C47" s="20"/>
      <c r="D47" s="12"/>
    </row>
    <row r="48" customFormat="false" ht="12.8" hidden="false" customHeight="false" outlineLevel="0" collapsed="false">
      <c r="A48" s="20" t="n">
        <f aca="false">ROW()-1</f>
        <v>47</v>
      </c>
      <c r="B48" s="20"/>
      <c r="C48" s="20"/>
      <c r="D48" s="12"/>
    </row>
    <row r="49" customFormat="false" ht="12.8" hidden="false" customHeight="false" outlineLevel="0" collapsed="false">
      <c r="A49" s="20" t="n">
        <f aca="false">ROW()-1</f>
        <v>48</v>
      </c>
      <c r="B49" s="20"/>
      <c r="C49" s="20"/>
      <c r="D49" s="12"/>
    </row>
    <row r="50" customFormat="false" ht="12.8" hidden="false" customHeight="false" outlineLevel="0" collapsed="false">
      <c r="A50" s="20" t="n">
        <f aca="false">ROW()-1</f>
        <v>49</v>
      </c>
      <c r="B50" s="20"/>
      <c r="C50" s="20"/>
      <c r="D50" s="12"/>
    </row>
    <row r="51" customFormat="false" ht="12.8" hidden="false" customHeight="false" outlineLevel="0" collapsed="false">
      <c r="A51" s="20" t="n">
        <f aca="false">ROW()-1</f>
        <v>50</v>
      </c>
      <c r="B51" s="20"/>
      <c r="C51" s="20"/>
      <c r="D51" s="12"/>
    </row>
    <row r="52" customFormat="false" ht="12.8" hidden="false" customHeight="false" outlineLevel="0" collapsed="false">
      <c r="A52" s="20" t="n">
        <f aca="false">ROW()-1</f>
        <v>51</v>
      </c>
      <c r="B52" s="20"/>
      <c r="C52" s="20"/>
      <c r="D52" s="12"/>
    </row>
    <row r="53" customFormat="false" ht="12.8" hidden="false" customHeight="false" outlineLevel="0" collapsed="false">
      <c r="A53" s="20" t="n">
        <f aca="false">ROW()-1</f>
        <v>52</v>
      </c>
      <c r="B53" s="20"/>
      <c r="C53" s="20"/>
      <c r="D53" s="12"/>
    </row>
    <row r="54" customFormat="false" ht="12.8" hidden="false" customHeight="false" outlineLevel="0" collapsed="false">
      <c r="A54" s="20" t="n">
        <f aca="false">ROW()-1</f>
        <v>53</v>
      </c>
      <c r="B54" s="20"/>
      <c r="C54" s="20"/>
      <c r="D54" s="12"/>
    </row>
    <row r="55" customFormat="false" ht="12.8" hidden="false" customHeight="false" outlineLevel="0" collapsed="false">
      <c r="A55" s="20" t="n">
        <f aca="false">ROW()-1</f>
        <v>54</v>
      </c>
      <c r="B55" s="20"/>
      <c r="C55" s="20"/>
      <c r="D55" s="12"/>
    </row>
    <row r="56" customFormat="false" ht="12.8" hidden="false" customHeight="false" outlineLevel="0" collapsed="false">
      <c r="A56" s="20" t="n">
        <f aca="false">ROW()-1</f>
        <v>55</v>
      </c>
      <c r="B56" s="20"/>
      <c r="C56" s="20"/>
      <c r="D56" s="12"/>
    </row>
    <row r="57" customFormat="false" ht="12.8" hidden="false" customHeight="false" outlineLevel="0" collapsed="false">
      <c r="A57" s="20" t="n">
        <f aca="false">ROW()-1</f>
        <v>56</v>
      </c>
      <c r="B57" s="20"/>
      <c r="C57" s="20"/>
      <c r="D57" s="12"/>
    </row>
    <row r="58" customFormat="false" ht="12.8" hidden="false" customHeight="false" outlineLevel="0" collapsed="false">
      <c r="A58" s="20" t="n">
        <f aca="false">ROW()-1</f>
        <v>57</v>
      </c>
      <c r="B58" s="20"/>
      <c r="C58" s="20"/>
      <c r="D58" s="12"/>
    </row>
    <row r="59" customFormat="false" ht="12.8" hidden="false" customHeight="false" outlineLevel="0" collapsed="false">
      <c r="A59" s="20" t="n">
        <f aca="false">ROW()-1</f>
        <v>58</v>
      </c>
      <c r="B59" s="20"/>
      <c r="C59" s="20"/>
      <c r="D59" s="12"/>
    </row>
    <row r="60" customFormat="false" ht="12.8" hidden="false" customHeight="false" outlineLevel="0" collapsed="false">
      <c r="A60" s="20" t="n">
        <f aca="false">ROW()-1</f>
        <v>59</v>
      </c>
      <c r="B60" s="20"/>
      <c r="C60" s="20"/>
      <c r="D60" s="12"/>
    </row>
    <row r="61" customFormat="false" ht="12.8" hidden="false" customHeight="false" outlineLevel="0" collapsed="false">
      <c r="A61" s="20" t="n">
        <f aca="false">ROW()-1</f>
        <v>60</v>
      </c>
      <c r="B61" s="20"/>
      <c r="C61" s="20"/>
      <c r="D61" s="12"/>
    </row>
    <row r="62" customFormat="false" ht="12.8" hidden="false" customHeight="false" outlineLevel="0" collapsed="false">
      <c r="A62" s="20" t="n">
        <f aca="false">ROW()-1</f>
        <v>61</v>
      </c>
      <c r="B62" s="20"/>
      <c r="C62" s="20"/>
      <c r="D62" s="12"/>
    </row>
    <row r="63" customFormat="false" ht="12.8" hidden="false" customHeight="false" outlineLevel="0" collapsed="false">
      <c r="A63" s="20" t="n">
        <f aca="false">ROW()-1</f>
        <v>62</v>
      </c>
      <c r="B63" s="20"/>
      <c r="C63" s="20"/>
      <c r="D63" s="12"/>
    </row>
    <row r="64" customFormat="false" ht="12.8" hidden="false" customHeight="false" outlineLevel="0" collapsed="false">
      <c r="A64" s="20" t="n">
        <f aca="false">ROW()-1</f>
        <v>63</v>
      </c>
      <c r="B64" s="20"/>
      <c r="C64" s="20"/>
      <c r="D64" s="12"/>
    </row>
    <row r="65" customFormat="false" ht="12.8" hidden="false" customHeight="false" outlineLevel="0" collapsed="false">
      <c r="A65" s="20" t="n">
        <f aca="false">ROW()-1</f>
        <v>64</v>
      </c>
      <c r="B65" s="20"/>
      <c r="C65" s="20"/>
      <c r="D65" s="12"/>
    </row>
    <row r="66" customFormat="false" ht="12.8" hidden="false" customHeight="false" outlineLevel="0" collapsed="false">
      <c r="A66" s="20" t="n">
        <f aca="false">ROW()-1</f>
        <v>65</v>
      </c>
      <c r="B66" s="20"/>
      <c r="C66" s="20"/>
      <c r="D66" s="12"/>
    </row>
    <row r="67" customFormat="false" ht="12.8" hidden="false" customHeight="false" outlineLevel="0" collapsed="false">
      <c r="A67" s="20" t="n">
        <f aca="false">ROW()-1</f>
        <v>66</v>
      </c>
      <c r="B67" s="20"/>
      <c r="C67" s="20"/>
      <c r="D67" s="12"/>
    </row>
    <row r="68" customFormat="false" ht="12.8" hidden="false" customHeight="false" outlineLevel="0" collapsed="false">
      <c r="A68" s="20" t="n">
        <f aca="false">ROW()-1</f>
        <v>67</v>
      </c>
      <c r="B68" s="20"/>
      <c r="C68" s="20"/>
      <c r="D68" s="12"/>
    </row>
    <row r="69" customFormat="false" ht="12.8" hidden="false" customHeight="false" outlineLevel="0" collapsed="false">
      <c r="A69" s="20" t="n">
        <f aca="false">ROW()-1</f>
        <v>68</v>
      </c>
      <c r="B69" s="20"/>
      <c r="C69" s="20"/>
      <c r="D69" s="12"/>
    </row>
    <row r="70" customFormat="false" ht="12.8" hidden="false" customHeight="false" outlineLevel="0" collapsed="false">
      <c r="A70" s="20" t="n">
        <f aca="false">ROW()-1</f>
        <v>69</v>
      </c>
      <c r="B70" s="20"/>
      <c r="C70" s="20"/>
      <c r="D70" s="12"/>
    </row>
    <row r="71" customFormat="false" ht="12.8" hidden="false" customHeight="false" outlineLevel="0" collapsed="false">
      <c r="A71" s="20" t="n">
        <f aca="false">ROW()-1</f>
        <v>70</v>
      </c>
      <c r="B71" s="20"/>
      <c r="C71" s="20"/>
      <c r="D71" s="12"/>
    </row>
    <row r="72" customFormat="false" ht="12.8" hidden="false" customHeight="false" outlineLevel="0" collapsed="false">
      <c r="A72" s="20" t="n">
        <f aca="false">ROW()-1</f>
        <v>71</v>
      </c>
      <c r="B72" s="20"/>
      <c r="C72" s="20"/>
      <c r="D72" s="12"/>
    </row>
    <row r="73" customFormat="false" ht="12.8" hidden="false" customHeight="false" outlineLevel="0" collapsed="false">
      <c r="A73" s="20" t="n">
        <f aca="false">ROW()-1</f>
        <v>72</v>
      </c>
      <c r="B73" s="20"/>
      <c r="C73" s="20"/>
      <c r="D73" s="12"/>
    </row>
    <row r="74" customFormat="false" ht="12.8" hidden="false" customHeight="false" outlineLevel="0" collapsed="false">
      <c r="A74" s="20" t="n">
        <f aca="false">ROW()-1</f>
        <v>73</v>
      </c>
      <c r="B74" s="20"/>
      <c r="C74" s="20"/>
      <c r="D74" s="12"/>
    </row>
    <row r="75" customFormat="false" ht="12.8" hidden="false" customHeight="false" outlineLevel="0" collapsed="false">
      <c r="A75" s="20" t="n">
        <f aca="false">ROW()-1</f>
        <v>74</v>
      </c>
      <c r="B75" s="20"/>
      <c r="C75" s="20"/>
      <c r="D75" s="12"/>
    </row>
    <row r="76" customFormat="false" ht="12.8" hidden="false" customHeight="false" outlineLevel="0" collapsed="false">
      <c r="A76" s="20" t="n">
        <f aca="false">ROW()-1</f>
        <v>75</v>
      </c>
      <c r="B76" s="20"/>
      <c r="C76" s="20"/>
      <c r="D76" s="12"/>
    </row>
    <row r="77" customFormat="false" ht="12.8" hidden="false" customHeight="false" outlineLevel="0" collapsed="false">
      <c r="A77" s="20" t="n">
        <f aca="false">ROW()-1</f>
        <v>76</v>
      </c>
      <c r="B77" s="20"/>
      <c r="C77" s="20"/>
      <c r="D77" s="12"/>
    </row>
    <row r="78" customFormat="false" ht="12.8" hidden="false" customHeight="false" outlineLevel="0" collapsed="false">
      <c r="A78" s="20" t="n">
        <f aca="false">ROW()-1</f>
        <v>77</v>
      </c>
      <c r="B78" s="20"/>
      <c r="C78" s="20"/>
      <c r="D78" s="12"/>
    </row>
    <row r="79" customFormat="false" ht="12.8" hidden="false" customHeight="false" outlineLevel="0" collapsed="false">
      <c r="A79" s="20" t="n">
        <f aca="false">ROW()-1</f>
        <v>78</v>
      </c>
      <c r="B79" s="20"/>
      <c r="C79" s="20"/>
      <c r="D79" s="12"/>
    </row>
    <row r="80" customFormat="false" ht="12.8" hidden="false" customHeight="false" outlineLevel="0" collapsed="false">
      <c r="A80" s="20" t="n">
        <f aca="false">ROW()-1</f>
        <v>79</v>
      </c>
      <c r="B80" s="20"/>
      <c r="C80" s="20"/>
      <c r="D80" s="12"/>
    </row>
    <row r="81" customFormat="false" ht="12.8" hidden="false" customHeight="false" outlineLevel="0" collapsed="false">
      <c r="A81" s="20" t="n">
        <f aca="false">ROW()-1</f>
        <v>80</v>
      </c>
      <c r="B81" s="20"/>
      <c r="C81" s="20"/>
      <c r="D81" s="12"/>
    </row>
    <row r="82" customFormat="false" ht="12.8" hidden="false" customHeight="false" outlineLevel="0" collapsed="false">
      <c r="A82" s="20" t="n">
        <f aca="false">ROW()-1</f>
        <v>81</v>
      </c>
      <c r="B82" s="20"/>
      <c r="C82" s="20"/>
      <c r="D82" s="12"/>
    </row>
    <row r="83" customFormat="false" ht="12.8" hidden="false" customHeight="false" outlineLevel="0" collapsed="false">
      <c r="A83" s="20" t="n">
        <f aca="false">ROW()-1</f>
        <v>82</v>
      </c>
      <c r="B83" s="20"/>
      <c r="C83" s="20"/>
      <c r="D83" s="12"/>
    </row>
    <row r="84" customFormat="false" ht="12.8" hidden="false" customHeight="false" outlineLevel="0" collapsed="false">
      <c r="A84" s="20" t="n">
        <f aca="false">ROW()-1</f>
        <v>83</v>
      </c>
      <c r="B84" s="20"/>
      <c r="C84" s="20"/>
      <c r="D84" s="12"/>
    </row>
    <row r="85" customFormat="false" ht="12.8" hidden="false" customHeight="false" outlineLevel="0" collapsed="false">
      <c r="A85" s="20" t="n">
        <f aca="false">ROW()-1</f>
        <v>84</v>
      </c>
      <c r="B85" s="20"/>
      <c r="C85" s="20"/>
      <c r="D85" s="12"/>
    </row>
    <row r="86" customFormat="false" ht="12.8" hidden="false" customHeight="false" outlineLevel="0" collapsed="false">
      <c r="A86" s="20" t="n">
        <f aca="false">ROW()-1</f>
        <v>85</v>
      </c>
      <c r="B86" s="20"/>
      <c r="C86" s="20"/>
      <c r="D86" s="12"/>
    </row>
    <row r="87" customFormat="false" ht="12.8" hidden="false" customHeight="false" outlineLevel="0" collapsed="false">
      <c r="A87" s="20" t="n">
        <f aca="false">ROW()-1</f>
        <v>86</v>
      </c>
      <c r="B87" s="20"/>
      <c r="C87" s="20"/>
      <c r="D87" s="12"/>
    </row>
    <row r="88" customFormat="false" ht="12.8" hidden="false" customHeight="false" outlineLevel="0" collapsed="false">
      <c r="A88" s="20" t="n">
        <f aca="false">ROW()-1</f>
        <v>87</v>
      </c>
      <c r="B88" s="20"/>
      <c r="C88" s="20"/>
      <c r="D88" s="12"/>
    </row>
    <row r="89" customFormat="false" ht="12.8" hidden="false" customHeight="false" outlineLevel="0" collapsed="false">
      <c r="A89" s="20" t="n">
        <f aca="false">ROW()-1</f>
        <v>88</v>
      </c>
      <c r="B89" s="20"/>
      <c r="C89" s="20"/>
      <c r="D89" s="12"/>
    </row>
    <row r="90" customFormat="false" ht="12.8" hidden="false" customHeight="false" outlineLevel="0" collapsed="false">
      <c r="A90" s="20" t="n">
        <f aca="false">ROW()-1</f>
        <v>89</v>
      </c>
      <c r="B90" s="20"/>
      <c r="C90" s="20"/>
      <c r="D90" s="12"/>
    </row>
    <row r="91" customFormat="false" ht="12.8" hidden="false" customHeight="false" outlineLevel="0" collapsed="false">
      <c r="A91" s="20" t="n">
        <f aca="false">ROW()-1</f>
        <v>90</v>
      </c>
      <c r="B91" s="20"/>
      <c r="C91" s="20"/>
      <c r="D91" s="12"/>
    </row>
    <row r="92" customFormat="false" ht="12.8" hidden="false" customHeight="false" outlineLevel="0" collapsed="false">
      <c r="A92" s="20" t="n">
        <f aca="false">ROW()-1</f>
        <v>91</v>
      </c>
      <c r="B92" s="20"/>
      <c r="C92" s="20"/>
      <c r="D92" s="12"/>
    </row>
    <row r="93" customFormat="false" ht="12.8" hidden="false" customHeight="false" outlineLevel="0" collapsed="false">
      <c r="A93" s="20" t="n">
        <f aca="false">ROW()-1</f>
        <v>92</v>
      </c>
      <c r="B93" s="20"/>
      <c r="C93" s="20"/>
      <c r="D93" s="12"/>
    </row>
    <row r="94" customFormat="false" ht="12.8" hidden="false" customHeight="false" outlineLevel="0" collapsed="false">
      <c r="A94" s="20" t="n">
        <f aca="false">ROW()-1</f>
        <v>93</v>
      </c>
      <c r="B94" s="20"/>
      <c r="C94" s="20"/>
      <c r="D94" s="12"/>
    </row>
    <row r="95" customFormat="false" ht="12.8" hidden="false" customHeight="false" outlineLevel="0" collapsed="false">
      <c r="A95" s="20" t="n">
        <f aca="false">ROW()-1</f>
        <v>94</v>
      </c>
      <c r="B95" s="20"/>
      <c r="C95" s="20"/>
      <c r="D95" s="12"/>
    </row>
    <row r="96" customFormat="false" ht="12.8" hidden="false" customHeight="false" outlineLevel="0" collapsed="false">
      <c r="A96" s="20" t="n">
        <f aca="false">ROW()-1</f>
        <v>95</v>
      </c>
      <c r="B96" s="20"/>
      <c r="C96" s="20"/>
      <c r="D96" s="12"/>
    </row>
    <row r="97" customFormat="false" ht="12.8" hidden="false" customHeight="false" outlineLevel="0" collapsed="false">
      <c r="A97" s="20" t="n">
        <f aca="false">ROW()-1</f>
        <v>96</v>
      </c>
      <c r="B97" s="20"/>
      <c r="C97" s="20"/>
      <c r="D97" s="12"/>
    </row>
    <row r="98" customFormat="false" ht="12.8" hidden="false" customHeight="false" outlineLevel="0" collapsed="false">
      <c r="A98" s="20" t="n">
        <f aca="false">ROW()-1</f>
        <v>97</v>
      </c>
      <c r="B98" s="20"/>
      <c r="C98" s="20"/>
      <c r="D98" s="12"/>
    </row>
    <row r="99" customFormat="false" ht="12.8" hidden="false" customHeight="false" outlineLevel="0" collapsed="false">
      <c r="A99" s="20" t="n">
        <f aca="false">ROW()-1</f>
        <v>98</v>
      </c>
      <c r="B99" s="20"/>
      <c r="C99" s="20"/>
      <c r="D99" s="12"/>
    </row>
    <row r="100" customFormat="false" ht="12.8" hidden="false" customHeight="false" outlineLevel="0" collapsed="false">
      <c r="A100" s="20" t="n">
        <f aca="false">ROW()-1</f>
        <v>99</v>
      </c>
      <c r="B100" s="20"/>
      <c r="C100" s="20"/>
      <c r="D100" s="12"/>
    </row>
    <row r="101" customFormat="false" ht="12.8" hidden="false" customHeight="false" outlineLevel="0" collapsed="false">
      <c r="A101" s="20" t="n">
        <f aca="false">ROW()-1</f>
        <v>100</v>
      </c>
      <c r="B101" s="20"/>
      <c r="C101" s="20"/>
      <c r="D101" s="12"/>
    </row>
    <row r="102" customFormat="false" ht="12.8" hidden="false" customHeight="false" outlineLevel="0" collapsed="false">
      <c r="A102" s="20" t="n">
        <f aca="false">ROW()-1</f>
        <v>101</v>
      </c>
      <c r="B102" s="20"/>
      <c r="C102" s="20"/>
      <c r="D102" s="12"/>
    </row>
    <row r="103" customFormat="false" ht="12.8" hidden="false" customHeight="false" outlineLevel="0" collapsed="false">
      <c r="A103" s="20" t="n">
        <f aca="false">ROW()-1</f>
        <v>102</v>
      </c>
      <c r="B103" s="20"/>
      <c r="C103" s="20"/>
      <c r="D103" s="12"/>
    </row>
    <row r="104" customFormat="false" ht="12.8" hidden="false" customHeight="false" outlineLevel="0" collapsed="false">
      <c r="A104" s="20" t="n">
        <f aca="false">ROW()-1</f>
        <v>103</v>
      </c>
      <c r="B104" s="20"/>
      <c r="C104" s="20"/>
      <c r="D104" s="12"/>
    </row>
    <row r="105" customFormat="false" ht="12.8" hidden="false" customHeight="false" outlineLevel="0" collapsed="false">
      <c r="A105" s="20" t="n">
        <f aca="false">ROW()-1</f>
        <v>104</v>
      </c>
      <c r="B105" s="20"/>
      <c r="C105" s="20"/>
      <c r="D105" s="12"/>
    </row>
    <row r="106" customFormat="false" ht="12.8" hidden="false" customHeight="false" outlineLevel="0" collapsed="false">
      <c r="A106" s="20" t="n">
        <f aca="false">ROW()-1</f>
        <v>105</v>
      </c>
      <c r="B106" s="20"/>
      <c r="C106" s="20"/>
      <c r="D106" s="12"/>
    </row>
    <row r="107" customFormat="false" ht="12.8" hidden="false" customHeight="false" outlineLevel="0" collapsed="false">
      <c r="A107" s="20" t="n">
        <f aca="false">ROW()-1</f>
        <v>106</v>
      </c>
      <c r="B107" s="20"/>
      <c r="C107" s="20"/>
      <c r="D107" s="12"/>
    </row>
    <row r="108" customFormat="false" ht="12.8" hidden="false" customHeight="false" outlineLevel="0" collapsed="false">
      <c r="A108" s="20" t="n">
        <f aca="false">ROW()-1</f>
        <v>107</v>
      </c>
      <c r="B108" s="20"/>
      <c r="C108" s="20"/>
      <c r="D108" s="12"/>
    </row>
    <row r="109" customFormat="false" ht="12.8" hidden="false" customHeight="false" outlineLevel="0" collapsed="false">
      <c r="A109" s="20" t="n">
        <f aca="false">ROW()-1</f>
        <v>108</v>
      </c>
      <c r="B109" s="20"/>
      <c r="C109" s="20"/>
      <c r="D109" s="12"/>
    </row>
    <row r="110" customFormat="false" ht="12.8" hidden="false" customHeight="false" outlineLevel="0" collapsed="false">
      <c r="A110" s="20" t="n">
        <f aca="false">ROW()-1</f>
        <v>109</v>
      </c>
      <c r="B110" s="20"/>
      <c r="C110" s="20"/>
      <c r="D110" s="12"/>
    </row>
    <row r="111" customFormat="false" ht="12.8" hidden="false" customHeight="false" outlineLevel="0" collapsed="false">
      <c r="A111" s="20" t="n">
        <f aca="false">ROW()-1</f>
        <v>110</v>
      </c>
      <c r="B111" s="20"/>
      <c r="C111" s="20"/>
      <c r="D111" s="12"/>
    </row>
    <row r="112" customFormat="false" ht="12.8" hidden="false" customHeight="false" outlineLevel="0" collapsed="false">
      <c r="A112" s="20" t="n">
        <f aca="false">ROW()-1</f>
        <v>111</v>
      </c>
      <c r="B112" s="20"/>
      <c r="C112" s="20"/>
      <c r="D112" s="12"/>
    </row>
    <row r="113" customFormat="false" ht="12.8" hidden="false" customHeight="false" outlineLevel="0" collapsed="false">
      <c r="A113" s="20" t="n">
        <f aca="false">ROW()-1</f>
        <v>112</v>
      </c>
      <c r="B113" s="20"/>
      <c r="C113" s="20"/>
      <c r="D113" s="12"/>
    </row>
    <row r="114" customFormat="false" ht="12.8" hidden="false" customHeight="false" outlineLevel="0" collapsed="false">
      <c r="A114" s="20" t="n">
        <f aca="false">ROW()-1</f>
        <v>113</v>
      </c>
      <c r="B114" s="20"/>
      <c r="C114" s="20"/>
      <c r="D114" s="12"/>
    </row>
    <row r="115" customFormat="false" ht="12.8" hidden="false" customHeight="false" outlineLevel="0" collapsed="false">
      <c r="A115" s="20" t="n">
        <f aca="false">ROW()-1</f>
        <v>114</v>
      </c>
      <c r="B115" s="20"/>
      <c r="C115" s="20"/>
      <c r="D115" s="12"/>
    </row>
    <row r="116" customFormat="false" ht="12.8" hidden="false" customHeight="false" outlineLevel="0" collapsed="false">
      <c r="A116" s="20" t="n">
        <f aca="false">ROW()-1</f>
        <v>115</v>
      </c>
      <c r="B116" s="20"/>
      <c r="C116" s="20"/>
      <c r="D116" s="12"/>
    </row>
    <row r="117" customFormat="false" ht="12.8" hidden="false" customHeight="false" outlineLevel="0" collapsed="false">
      <c r="A117" s="20" t="n">
        <f aca="false">ROW()-1</f>
        <v>116</v>
      </c>
      <c r="B117" s="20"/>
      <c r="C117" s="20"/>
      <c r="D117" s="12"/>
    </row>
    <row r="118" customFormat="false" ht="12.8" hidden="false" customHeight="false" outlineLevel="0" collapsed="false">
      <c r="A118" s="20" t="n">
        <f aca="false">ROW()-1</f>
        <v>117</v>
      </c>
      <c r="B118" s="20"/>
      <c r="C118" s="20"/>
      <c r="D118" s="12"/>
    </row>
    <row r="119" customFormat="false" ht="12.8" hidden="false" customHeight="false" outlineLevel="0" collapsed="false">
      <c r="A119" s="20" t="n">
        <f aca="false">ROW()-1</f>
        <v>118</v>
      </c>
      <c r="B119" s="20"/>
      <c r="C119" s="20"/>
      <c r="D119" s="12"/>
    </row>
    <row r="120" customFormat="false" ht="12.8" hidden="false" customHeight="false" outlineLevel="0" collapsed="false">
      <c r="A120" s="20" t="n">
        <f aca="false">ROW()-1</f>
        <v>119</v>
      </c>
      <c r="B120" s="20"/>
      <c r="C120" s="20"/>
      <c r="D120" s="12"/>
    </row>
    <row r="121" customFormat="false" ht="12.8" hidden="false" customHeight="false" outlineLevel="0" collapsed="false">
      <c r="A121" s="20" t="n">
        <f aca="false">ROW()-1</f>
        <v>120</v>
      </c>
      <c r="B121" s="20"/>
      <c r="C121" s="20"/>
      <c r="D121" s="12"/>
    </row>
    <row r="122" customFormat="false" ht="12.8" hidden="false" customHeight="false" outlineLevel="0" collapsed="false">
      <c r="A122" s="20" t="n">
        <f aca="false">ROW()-1</f>
        <v>121</v>
      </c>
      <c r="B122" s="20"/>
      <c r="C122" s="20"/>
      <c r="D122" s="12"/>
    </row>
    <row r="123" customFormat="false" ht="12.8" hidden="false" customHeight="false" outlineLevel="0" collapsed="false">
      <c r="A123" s="20" t="n">
        <f aca="false">ROW()-1</f>
        <v>122</v>
      </c>
      <c r="B123" s="20"/>
      <c r="C123" s="20"/>
      <c r="D123" s="12"/>
    </row>
    <row r="124" customFormat="false" ht="12.8" hidden="false" customHeight="false" outlineLevel="0" collapsed="false">
      <c r="A124" s="20" t="n">
        <f aca="false">ROW()-1</f>
        <v>123</v>
      </c>
      <c r="B124" s="20"/>
      <c r="C124" s="20"/>
      <c r="D124" s="12"/>
    </row>
    <row r="125" customFormat="false" ht="12.8" hidden="false" customHeight="false" outlineLevel="0" collapsed="false">
      <c r="A125" s="20" t="n">
        <f aca="false">ROW()-1</f>
        <v>124</v>
      </c>
      <c r="B125" s="20"/>
      <c r="C125" s="20"/>
      <c r="D125" s="12"/>
    </row>
    <row r="126" customFormat="false" ht="12.8" hidden="false" customHeight="false" outlineLevel="0" collapsed="false">
      <c r="A126" s="20" t="n">
        <f aca="false">ROW()-1</f>
        <v>125</v>
      </c>
      <c r="B126" s="20"/>
      <c r="C126" s="20"/>
      <c r="D126" s="12"/>
    </row>
    <row r="127" customFormat="false" ht="12.8" hidden="false" customHeight="false" outlineLevel="0" collapsed="false">
      <c r="A127" s="20" t="n">
        <f aca="false">ROW()-1</f>
        <v>126</v>
      </c>
      <c r="B127" s="20"/>
      <c r="C127" s="20"/>
      <c r="D127" s="12"/>
    </row>
    <row r="128" customFormat="false" ht="12.8" hidden="false" customHeight="false" outlineLevel="0" collapsed="false">
      <c r="A128" s="20" t="n">
        <f aca="false">ROW()-1</f>
        <v>127</v>
      </c>
      <c r="B128" s="20"/>
      <c r="C128" s="20"/>
      <c r="D128" s="12"/>
    </row>
    <row r="129" customFormat="false" ht="12.8" hidden="false" customHeight="false" outlineLevel="0" collapsed="false">
      <c r="A129" s="20" t="n">
        <f aca="false">ROW()-1</f>
        <v>128</v>
      </c>
      <c r="B129" s="20"/>
      <c r="C129" s="20"/>
      <c r="D129" s="12"/>
    </row>
    <row r="130" customFormat="false" ht="12.8" hidden="false" customHeight="false" outlineLevel="0" collapsed="false">
      <c r="A130" s="20" t="n">
        <f aca="false">ROW()-1</f>
        <v>129</v>
      </c>
      <c r="B130" s="20"/>
      <c r="C130" s="20"/>
      <c r="D130" s="12"/>
    </row>
    <row r="131" customFormat="false" ht="12.8" hidden="false" customHeight="false" outlineLevel="0" collapsed="false">
      <c r="A131" s="20" t="n">
        <f aca="false">ROW()-1</f>
        <v>130</v>
      </c>
      <c r="B131" s="20"/>
      <c r="C131" s="20"/>
      <c r="D131" s="12"/>
    </row>
    <row r="132" customFormat="false" ht="12.8" hidden="false" customHeight="false" outlineLevel="0" collapsed="false">
      <c r="A132" s="20" t="n">
        <f aca="false">ROW()-1</f>
        <v>131</v>
      </c>
      <c r="B132" s="20"/>
      <c r="C132" s="20"/>
      <c r="D132" s="12"/>
    </row>
    <row r="133" customFormat="false" ht="12.8" hidden="false" customHeight="false" outlineLevel="0" collapsed="false">
      <c r="A133" s="20" t="n">
        <f aca="false">ROW()-1</f>
        <v>132</v>
      </c>
      <c r="B133" s="20"/>
      <c r="C133" s="20"/>
      <c r="D133" s="12"/>
    </row>
    <row r="134" customFormat="false" ht="12.8" hidden="false" customHeight="false" outlineLevel="0" collapsed="false">
      <c r="A134" s="20" t="n">
        <f aca="false">ROW()-1</f>
        <v>133</v>
      </c>
      <c r="B134" s="20"/>
      <c r="C134" s="20"/>
      <c r="D134" s="12"/>
    </row>
    <row r="135" customFormat="false" ht="12.8" hidden="false" customHeight="false" outlineLevel="0" collapsed="false">
      <c r="A135" s="20" t="n">
        <f aca="false">ROW()-1</f>
        <v>134</v>
      </c>
      <c r="B135" s="20"/>
      <c r="C135" s="20"/>
      <c r="D135" s="12"/>
    </row>
    <row r="136" customFormat="false" ht="12.8" hidden="false" customHeight="false" outlineLevel="0" collapsed="false">
      <c r="A136" s="20" t="n">
        <f aca="false">ROW()-1</f>
        <v>135</v>
      </c>
      <c r="B136" s="20"/>
      <c r="C136" s="20"/>
      <c r="D136" s="12"/>
    </row>
    <row r="137" customFormat="false" ht="12.8" hidden="false" customHeight="false" outlineLevel="0" collapsed="false">
      <c r="A137" s="20" t="n">
        <f aca="false">ROW()-1</f>
        <v>136</v>
      </c>
      <c r="B137" s="20"/>
      <c r="C137" s="20"/>
      <c r="D137" s="12"/>
    </row>
    <row r="138" customFormat="false" ht="12.8" hidden="false" customHeight="false" outlineLevel="0" collapsed="false">
      <c r="A138" s="20" t="n">
        <f aca="false">ROW()-1</f>
        <v>137</v>
      </c>
      <c r="B138" s="20"/>
      <c r="C138" s="20"/>
      <c r="D138" s="12"/>
    </row>
    <row r="139" customFormat="false" ht="12.8" hidden="false" customHeight="false" outlineLevel="0" collapsed="false">
      <c r="A139" s="20" t="n">
        <f aca="false">ROW()-1</f>
        <v>138</v>
      </c>
      <c r="B139" s="20"/>
      <c r="C139" s="20"/>
      <c r="D139" s="12"/>
    </row>
    <row r="140" customFormat="false" ht="12.8" hidden="false" customHeight="false" outlineLevel="0" collapsed="false">
      <c r="A140" s="20" t="n">
        <f aca="false">ROW()-1</f>
        <v>139</v>
      </c>
      <c r="B140" s="20"/>
      <c r="C140" s="20"/>
      <c r="D140" s="12"/>
    </row>
    <row r="141" customFormat="false" ht="12.8" hidden="false" customHeight="false" outlineLevel="0" collapsed="false">
      <c r="A141" s="20" t="n">
        <f aca="false">ROW()-1</f>
        <v>140</v>
      </c>
      <c r="B141" s="20"/>
      <c r="C141" s="20"/>
      <c r="D141" s="12"/>
    </row>
    <row r="142" customFormat="false" ht="12.8" hidden="false" customHeight="false" outlineLevel="0" collapsed="false">
      <c r="A142" s="20" t="n">
        <f aca="false">ROW()-1</f>
        <v>141</v>
      </c>
      <c r="B142" s="20"/>
      <c r="C142" s="20"/>
      <c r="D142" s="12"/>
    </row>
    <row r="143" customFormat="false" ht="12.8" hidden="false" customHeight="false" outlineLevel="0" collapsed="false">
      <c r="A143" s="20" t="n">
        <f aca="false">ROW()-1</f>
        <v>142</v>
      </c>
      <c r="B143" s="20"/>
      <c r="C143" s="20"/>
      <c r="D143" s="12"/>
    </row>
    <row r="144" customFormat="false" ht="12.8" hidden="false" customHeight="false" outlineLevel="0" collapsed="false">
      <c r="A144" s="20" t="n">
        <f aca="false">ROW()-1</f>
        <v>143</v>
      </c>
      <c r="B144" s="20"/>
      <c r="C144" s="20"/>
      <c r="D144" s="12"/>
    </row>
    <row r="145" customFormat="false" ht="12.8" hidden="false" customHeight="false" outlineLevel="0" collapsed="false">
      <c r="A145" s="20" t="n">
        <f aca="false">ROW()-1</f>
        <v>144</v>
      </c>
      <c r="B145" s="20"/>
      <c r="C145" s="20"/>
      <c r="D145" s="12"/>
    </row>
    <row r="146" customFormat="false" ht="12.8" hidden="false" customHeight="false" outlineLevel="0" collapsed="false">
      <c r="A146" s="20" t="n">
        <f aca="false">ROW()-1</f>
        <v>145</v>
      </c>
      <c r="B146" s="20"/>
      <c r="C146" s="20"/>
      <c r="D146" s="12"/>
    </row>
    <row r="147" customFormat="false" ht="12.8" hidden="false" customHeight="false" outlineLevel="0" collapsed="false">
      <c r="A147" s="20" t="n">
        <f aca="false">ROW()-1</f>
        <v>146</v>
      </c>
      <c r="B147" s="20"/>
      <c r="C147" s="20"/>
      <c r="D147" s="12"/>
    </row>
    <row r="148" customFormat="false" ht="12.8" hidden="false" customHeight="false" outlineLevel="0" collapsed="false">
      <c r="A148" s="20" t="n">
        <f aca="false">ROW()-1</f>
        <v>147</v>
      </c>
      <c r="B148" s="20"/>
      <c r="C148" s="20"/>
      <c r="D148" s="12"/>
    </row>
    <row r="149" customFormat="false" ht="12.8" hidden="false" customHeight="false" outlineLevel="0" collapsed="false">
      <c r="A149" s="20" t="n">
        <f aca="false">ROW()-1</f>
        <v>148</v>
      </c>
      <c r="B149" s="20"/>
      <c r="C149" s="20"/>
      <c r="D149" s="12"/>
    </row>
    <row r="150" customFormat="false" ht="12.8" hidden="false" customHeight="false" outlineLevel="0" collapsed="false">
      <c r="A150" s="20" t="n">
        <f aca="false">ROW()-1</f>
        <v>149</v>
      </c>
      <c r="B150" s="20"/>
      <c r="C150" s="20"/>
      <c r="D150" s="12"/>
    </row>
    <row r="151" customFormat="false" ht="12.8" hidden="false" customHeight="false" outlineLevel="0" collapsed="false">
      <c r="A151" s="20" t="n">
        <f aca="false">ROW()-1</f>
        <v>150</v>
      </c>
      <c r="B151" s="20"/>
      <c r="C151" s="20"/>
      <c r="D151" s="12"/>
    </row>
    <row r="152" customFormat="false" ht="12.8" hidden="false" customHeight="false" outlineLevel="0" collapsed="false">
      <c r="A152" s="20" t="n">
        <f aca="false">ROW()-1</f>
        <v>151</v>
      </c>
      <c r="B152" s="20"/>
      <c r="C152" s="20"/>
      <c r="D152" s="12"/>
    </row>
    <row r="153" customFormat="false" ht="12.8" hidden="false" customHeight="false" outlineLevel="0" collapsed="false">
      <c r="A153" s="20" t="n">
        <f aca="false">ROW()-1</f>
        <v>152</v>
      </c>
      <c r="B153" s="20"/>
      <c r="C153" s="20"/>
      <c r="D153" s="12"/>
    </row>
    <row r="154" customFormat="false" ht="12.8" hidden="false" customHeight="false" outlineLevel="0" collapsed="false">
      <c r="A154" s="20" t="n">
        <f aca="false">ROW()-1</f>
        <v>153</v>
      </c>
      <c r="B154" s="20"/>
      <c r="C154" s="20"/>
      <c r="D154" s="12"/>
    </row>
    <row r="155" customFormat="false" ht="12.8" hidden="false" customHeight="false" outlineLevel="0" collapsed="false">
      <c r="A155" s="20" t="n">
        <f aca="false">ROW()-1</f>
        <v>154</v>
      </c>
      <c r="B155" s="20"/>
      <c r="C155" s="20"/>
      <c r="D155" s="12"/>
    </row>
    <row r="156" customFormat="false" ht="12.8" hidden="false" customHeight="false" outlineLevel="0" collapsed="false">
      <c r="A156" s="20" t="n">
        <f aca="false">ROW()-1</f>
        <v>155</v>
      </c>
      <c r="B156" s="20"/>
      <c r="C156" s="20"/>
      <c r="D156" s="12"/>
    </row>
    <row r="157" customFormat="false" ht="12.8" hidden="false" customHeight="false" outlineLevel="0" collapsed="false">
      <c r="A157" s="20" t="n">
        <f aca="false">ROW()-1</f>
        <v>156</v>
      </c>
      <c r="B157" s="20"/>
      <c r="C157" s="20"/>
      <c r="D157" s="12"/>
    </row>
    <row r="158" customFormat="false" ht="12.8" hidden="false" customHeight="false" outlineLevel="0" collapsed="false">
      <c r="A158" s="20" t="n">
        <f aca="false">ROW()-1</f>
        <v>157</v>
      </c>
      <c r="B158" s="20"/>
      <c r="C158" s="20"/>
      <c r="D158" s="12"/>
    </row>
    <row r="159" customFormat="false" ht="12.8" hidden="false" customHeight="false" outlineLevel="0" collapsed="false">
      <c r="A159" s="20" t="n">
        <f aca="false">ROW()-1</f>
        <v>158</v>
      </c>
      <c r="B159" s="20"/>
      <c r="C159" s="20"/>
      <c r="D159" s="12"/>
    </row>
    <row r="160" customFormat="false" ht="12.8" hidden="false" customHeight="false" outlineLevel="0" collapsed="false">
      <c r="A160" s="20" t="n">
        <f aca="false">ROW()-1</f>
        <v>159</v>
      </c>
      <c r="B160" s="20"/>
      <c r="C160" s="20"/>
      <c r="D160" s="12"/>
    </row>
    <row r="161" customFormat="false" ht="12.8" hidden="false" customHeight="false" outlineLevel="0" collapsed="false">
      <c r="A161" s="20" t="n">
        <f aca="false">ROW()-1</f>
        <v>160</v>
      </c>
      <c r="B161" s="20"/>
      <c r="C161" s="20"/>
      <c r="D161" s="12"/>
    </row>
    <row r="162" customFormat="false" ht="12.8" hidden="false" customHeight="false" outlineLevel="0" collapsed="false">
      <c r="A162" s="20" t="n">
        <f aca="false">ROW()-1</f>
        <v>161</v>
      </c>
      <c r="B162" s="20"/>
      <c r="C162" s="20"/>
      <c r="D162" s="12"/>
    </row>
    <row r="163" customFormat="false" ht="12.8" hidden="false" customHeight="false" outlineLevel="0" collapsed="false">
      <c r="A163" s="20" t="n">
        <f aca="false">ROW()-1</f>
        <v>162</v>
      </c>
      <c r="B163" s="20"/>
      <c r="C163" s="20"/>
      <c r="D163" s="12"/>
    </row>
    <row r="164" customFormat="false" ht="12.8" hidden="false" customHeight="false" outlineLevel="0" collapsed="false">
      <c r="A164" s="20" t="n">
        <f aca="false">ROW()-1</f>
        <v>163</v>
      </c>
      <c r="B164" s="20"/>
      <c r="C164" s="20"/>
      <c r="D164" s="12"/>
    </row>
    <row r="165" customFormat="false" ht="12.8" hidden="false" customHeight="false" outlineLevel="0" collapsed="false">
      <c r="A165" s="20" t="n">
        <f aca="false">ROW()-1</f>
        <v>164</v>
      </c>
      <c r="B165" s="20"/>
      <c r="C165" s="20"/>
      <c r="D165" s="12"/>
    </row>
    <row r="166" customFormat="false" ht="12.8" hidden="false" customHeight="false" outlineLevel="0" collapsed="false">
      <c r="A166" s="20" t="n">
        <f aca="false">ROW()-1</f>
        <v>165</v>
      </c>
      <c r="B166" s="20"/>
      <c r="C166" s="20"/>
      <c r="D166" s="12"/>
    </row>
    <row r="167" customFormat="false" ht="12.8" hidden="false" customHeight="false" outlineLevel="0" collapsed="false">
      <c r="A167" s="20" t="n">
        <f aca="false">ROW()-1</f>
        <v>166</v>
      </c>
      <c r="B167" s="20"/>
      <c r="C167" s="20"/>
      <c r="D167" s="12"/>
    </row>
    <row r="168" customFormat="false" ht="12.8" hidden="false" customHeight="false" outlineLevel="0" collapsed="false">
      <c r="A168" s="20" t="n">
        <f aca="false">ROW()-1</f>
        <v>167</v>
      </c>
      <c r="B168" s="20"/>
      <c r="C168" s="20"/>
      <c r="D168" s="12"/>
    </row>
    <row r="169" customFormat="false" ht="12.8" hidden="false" customHeight="false" outlineLevel="0" collapsed="false">
      <c r="A169" s="20" t="n">
        <f aca="false">ROW()-1</f>
        <v>168</v>
      </c>
      <c r="B169" s="20"/>
      <c r="C169" s="20"/>
      <c r="D169" s="12"/>
    </row>
    <row r="170" customFormat="false" ht="12.8" hidden="false" customHeight="false" outlineLevel="0" collapsed="false">
      <c r="A170" s="20" t="n">
        <f aca="false">ROW()-1</f>
        <v>169</v>
      </c>
      <c r="B170" s="20"/>
      <c r="C170" s="20"/>
      <c r="D170" s="12"/>
    </row>
    <row r="171" customFormat="false" ht="12.8" hidden="false" customHeight="false" outlineLevel="0" collapsed="false">
      <c r="A171" s="20" t="n">
        <f aca="false">ROW()-1</f>
        <v>170</v>
      </c>
      <c r="B171" s="20"/>
      <c r="C171" s="20"/>
      <c r="D171" s="12"/>
    </row>
    <row r="172" customFormat="false" ht="12.8" hidden="false" customHeight="false" outlineLevel="0" collapsed="false">
      <c r="A172" s="20" t="n">
        <f aca="false">ROW()-1</f>
        <v>171</v>
      </c>
      <c r="B172" s="20"/>
      <c r="C172" s="20"/>
      <c r="D172" s="12"/>
    </row>
    <row r="173" customFormat="false" ht="12.8" hidden="false" customHeight="false" outlineLevel="0" collapsed="false">
      <c r="A173" s="20" t="n">
        <f aca="false">ROW()-1</f>
        <v>172</v>
      </c>
      <c r="B173" s="20"/>
      <c r="C173" s="20"/>
      <c r="D173" s="12"/>
    </row>
    <row r="174" customFormat="false" ht="12.8" hidden="false" customHeight="false" outlineLevel="0" collapsed="false">
      <c r="A174" s="20" t="n">
        <f aca="false">ROW()-1</f>
        <v>173</v>
      </c>
      <c r="B174" s="20"/>
      <c r="C174" s="20"/>
      <c r="D174" s="12"/>
    </row>
    <row r="175" customFormat="false" ht="12.8" hidden="false" customHeight="false" outlineLevel="0" collapsed="false">
      <c r="A175" s="20" t="n">
        <f aca="false">ROW()-1</f>
        <v>174</v>
      </c>
      <c r="B175" s="20"/>
      <c r="C175" s="20"/>
      <c r="D175" s="12"/>
    </row>
    <row r="176" customFormat="false" ht="12.8" hidden="false" customHeight="false" outlineLevel="0" collapsed="false">
      <c r="A176" s="20" t="n">
        <f aca="false">ROW()-1</f>
        <v>175</v>
      </c>
      <c r="B176" s="20"/>
      <c r="C176" s="20"/>
      <c r="D176" s="12"/>
    </row>
    <row r="177" customFormat="false" ht="12.8" hidden="false" customHeight="false" outlineLevel="0" collapsed="false">
      <c r="A177" s="20" t="n">
        <f aca="false">ROW()-1</f>
        <v>176</v>
      </c>
      <c r="B177" s="20"/>
      <c r="C177" s="20"/>
      <c r="D177" s="12"/>
    </row>
    <row r="178" customFormat="false" ht="12.8" hidden="false" customHeight="false" outlineLevel="0" collapsed="false">
      <c r="A178" s="20" t="n">
        <f aca="false">ROW()-1</f>
        <v>177</v>
      </c>
      <c r="B178" s="20"/>
      <c r="C178" s="20"/>
      <c r="D178" s="12"/>
    </row>
    <row r="179" customFormat="false" ht="12.8" hidden="false" customHeight="false" outlineLevel="0" collapsed="false">
      <c r="A179" s="20" t="n">
        <f aca="false">ROW()-1</f>
        <v>178</v>
      </c>
      <c r="B179" s="20"/>
      <c r="C179" s="20"/>
      <c r="D179" s="12"/>
    </row>
    <row r="180" customFormat="false" ht="12.8" hidden="false" customHeight="false" outlineLevel="0" collapsed="false">
      <c r="A180" s="20" t="n">
        <f aca="false">ROW()-1</f>
        <v>179</v>
      </c>
      <c r="B180" s="20"/>
      <c r="C180" s="20"/>
      <c r="D180" s="12"/>
    </row>
    <row r="181" customFormat="false" ht="12.8" hidden="false" customHeight="false" outlineLevel="0" collapsed="false">
      <c r="A181" s="20" t="n">
        <f aca="false">ROW()-1</f>
        <v>180</v>
      </c>
      <c r="B181" s="20"/>
      <c r="C181" s="20"/>
      <c r="D181" s="12"/>
    </row>
    <row r="182" customFormat="false" ht="12.8" hidden="false" customHeight="false" outlineLevel="0" collapsed="false">
      <c r="A182" s="20" t="n">
        <f aca="false">ROW()-1</f>
        <v>181</v>
      </c>
      <c r="B182" s="20"/>
      <c r="C182" s="20"/>
      <c r="D182" s="12"/>
    </row>
    <row r="183" customFormat="false" ht="12.8" hidden="false" customHeight="false" outlineLevel="0" collapsed="false">
      <c r="A183" s="20" t="n">
        <f aca="false">ROW()-1</f>
        <v>182</v>
      </c>
      <c r="B183" s="20"/>
      <c r="C183" s="20"/>
      <c r="D183" s="12"/>
    </row>
    <row r="184" customFormat="false" ht="12.8" hidden="false" customHeight="false" outlineLevel="0" collapsed="false">
      <c r="A184" s="20" t="n">
        <f aca="false">ROW()-1</f>
        <v>183</v>
      </c>
      <c r="B184" s="20"/>
      <c r="C184" s="20"/>
      <c r="D184" s="12"/>
    </row>
    <row r="185" customFormat="false" ht="12.8" hidden="false" customHeight="false" outlineLevel="0" collapsed="false">
      <c r="A185" s="20" t="n">
        <f aca="false">ROW()-1</f>
        <v>184</v>
      </c>
      <c r="B185" s="20"/>
      <c r="C185" s="20"/>
      <c r="D185" s="12"/>
    </row>
    <row r="186" customFormat="false" ht="12.8" hidden="false" customHeight="false" outlineLevel="0" collapsed="false">
      <c r="A186" s="20" t="n">
        <f aca="false">ROW()-1</f>
        <v>185</v>
      </c>
      <c r="B186" s="20"/>
      <c r="C186" s="20"/>
      <c r="D186" s="12"/>
    </row>
    <row r="187" customFormat="false" ht="12.8" hidden="false" customHeight="false" outlineLevel="0" collapsed="false">
      <c r="A187" s="20" t="n">
        <f aca="false">ROW()-1</f>
        <v>186</v>
      </c>
      <c r="B187" s="20"/>
      <c r="C187" s="20"/>
      <c r="D187" s="12"/>
    </row>
    <row r="188" customFormat="false" ht="12.8" hidden="false" customHeight="false" outlineLevel="0" collapsed="false">
      <c r="A188" s="20" t="n">
        <f aca="false">ROW()-1</f>
        <v>187</v>
      </c>
      <c r="B188" s="20"/>
      <c r="C188" s="20"/>
      <c r="D188" s="12"/>
    </row>
    <row r="189" customFormat="false" ht="12.8" hidden="false" customHeight="false" outlineLevel="0" collapsed="false">
      <c r="A189" s="20" t="n">
        <f aca="false">ROW()-1</f>
        <v>188</v>
      </c>
      <c r="B189" s="20"/>
      <c r="C189" s="20"/>
      <c r="D189" s="12"/>
    </row>
    <row r="190" customFormat="false" ht="12.8" hidden="false" customHeight="false" outlineLevel="0" collapsed="false">
      <c r="A190" s="20" t="n">
        <f aca="false">ROW()-1</f>
        <v>189</v>
      </c>
      <c r="B190" s="20"/>
      <c r="C190" s="20"/>
      <c r="D190" s="12"/>
    </row>
    <row r="191" customFormat="false" ht="12.8" hidden="false" customHeight="false" outlineLevel="0" collapsed="false">
      <c r="A191" s="20" t="n">
        <f aca="false">ROW()-1</f>
        <v>190</v>
      </c>
      <c r="B191" s="20"/>
      <c r="C191" s="20"/>
      <c r="D191" s="12"/>
    </row>
    <row r="192" customFormat="false" ht="12.8" hidden="false" customHeight="false" outlineLevel="0" collapsed="false">
      <c r="A192" s="20" t="n">
        <f aca="false">ROW()-1</f>
        <v>191</v>
      </c>
      <c r="B192" s="20"/>
      <c r="C192" s="20"/>
      <c r="D192" s="12"/>
    </row>
    <row r="193" customFormat="false" ht="12.8" hidden="false" customHeight="false" outlineLevel="0" collapsed="false">
      <c r="A193" s="20" t="n">
        <f aca="false">ROW()-1</f>
        <v>192</v>
      </c>
      <c r="B193" s="20"/>
      <c r="C193" s="20"/>
      <c r="D193" s="12"/>
    </row>
    <row r="194" customFormat="false" ht="12.8" hidden="false" customHeight="false" outlineLevel="0" collapsed="false">
      <c r="A194" s="20" t="n">
        <f aca="false">ROW()-1</f>
        <v>193</v>
      </c>
      <c r="B194" s="20"/>
      <c r="C194" s="20"/>
      <c r="D194" s="12"/>
    </row>
    <row r="195" customFormat="false" ht="12.8" hidden="false" customHeight="false" outlineLevel="0" collapsed="false">
      <c r="A195" s="20" t="n">
        <f aca="false">ROW()-1</f>
        <v>194</v>
      </c>
      <c r="B195" s="20"/>
      <c r="C195" s="20"/>
      <c r="D195" s="12"/>
    </row>
    <row r="196" customFormat="false" ht="12.8" hidden="false" customHeight="false" outlineLevel="0" collapsed="false">
      <c r="A196" s="20" t="n">
        <f aca="false">ROW()-1</f>
        <v>195</v>
      </c>
      <c r="B196" s="20"/>
      <c r="C196" s="20"/>
      <c r="D196" s="12"/>
    </row>
    <row r="197" customFormat="false" ht="12.8" hidden="false" customHeight="false" outlineLevel="0" collapsed="false">
      <c r="A197" s="20" t="n">
        <f aca="false">ROW()-1</f>
        <v>196</v>
      </c>
      <c r="B197" s="20"/>
      <c r="C197" s="20"/>
      <c r="D197" s="12"/>
    </row>
    <row r="198" customFormat="false" ht="12.8" hidden="false" customHeight="false" outlineLevel="0" collapsed="false">
      <c r="A198" s="20" t="n">
        <f aca="false">ROW()-1</f>
        <v>197</v>
      </c>
      <c r="B198" s="20"/>
      <c r="C198" s="20"/>
      <c r="D198" s="12"/>
    </row>
    <row r="199" customFormat="false" ht="12.8" hidden="false" customHeight="false" outlineLevel="0" collapsed="false">
      <c r="A199" s="20" t="n">
        <f aca="false">ROW()-1</f>
        <v>198</v>
      </c>
      <c r="B199" s="20"/>
      <c r="C199" s="20"/>
      <c r="D199" s="12"/>
    </row>
    <row r="200" customFormat="false" ht="12.8" hidden="false" customHeight="false" outlineLevel="0" collapsed="false">
      <c r="A200" s="20" t="n">
        <f aca="false">ROW()-1</f>
        <v>199</v>
      </c>
      <c r="B200" s="20"/>
      <c r="C200" s="20"/>
      <c r="D200" s="12"/>
    </row>
    <row r="201" customFormat="false" ht="12.8" hidden="false" customHeight="false" outlineLevel="0" collapsed="false">
      <c r="A201" s="20" t="n">
        <f aca="false">ROW()-1</f>
        <v>200</v>
      </c>
      <c r="B201" s="20"/>
      <c r="C201" s="20"/>
      <c r="D201" s="12"/>
    </row>
    <row r="202" customFormat="false" ht="12.8" hidden="false" customHeight="false" outlineLevel="0" collapsed="false">
      <c r="A202" s="20" t="n">
        <f aca="false">ROW()-1</f>
        <v>201</v>
      </c>
      <c r="B202" s="20"/>
      <c r="C202" s="20"/>
      <c r="D202" s="12"/>
    </row>
    <row r="203" customFormat="false" ht="12.8" hidden="false" customHeight="false" outlineLevel="0" collapsed="false">
      <c r="A203" s="20" t="n">
        <f aca="false">ROW()-1</f>
        <v>202</v>
      </c>
      <c r="B203" s="20"/>
      <c r="C203" s="20"/>
      <c r="D203" s="12"/>
    </row>
    <row r="204" customFormat="false" ht="12.8" hidden="false" customHeight="false" outlineLevel="0" collapsed="false">
      <c r="A204" s="20" t="n">
        <f aca="false">ROW()-1</f>
        <v>203</v>
      </c>
      <c r="B204" s="20"/>
      <c r="C204" s="20"/>
      <c r="D204" s="12"/>
    </row>
    <row r="205" customFormat="false" ht="12.8" hidden="false" customHeight="false" outlineLevel="0" collapsed="false">
      <c r="A205" s="20" t="n">
        <f aca="false">ROW()-1</f>
        <v>204</v>
      </c>
      <c r="B205" s="20"/>
      <c r="C205" s="20"/>
      <c r="D205" s="12"/>
    </row>
    <row r="206" customFormat="false" ht="12.8" hidden="false" customHeight="false" outlineLevel="0" collapsed="false">
      <c r="A206" s="20" t="n">
        <f aca="false">ROW()-1</f>
        <v>205</v>
      </c>
      <c r="B206" s="20"/>
      <c r="C206" s="20"/>
      <c r="D206" s="12"/>
    </row>
    <row r="207" customFormat="false" ht="12.8" hidden="false" customHeight="false" outlineLevel="0" collapsed="false">
      <c r="A207" s="20" t="n">
        <f aca="false">ROW()-1</f>
        <v>206</v>
      </c>
      <c r="B207" s="20"/>
      <c r="C207" s="20"/>
      <c r="D207" s="12"/>
    </row>
    <row r="208" customFormat="false" ht="12.8" hidden="false" customHeight="false" outlineLevel="0" collapsed="false">
      <c r="A208" s="20" t="n">
        <f aca="false">ROW()-1</f>
        <v>207</v>
      </c>
      <c r="B208" s="20"/>
      <c r="C208" s="20"/>
      <c r="D208" s="12"/>
    </row>
    <row r="209" customFormat="false" ht="12.8" hidden="false" customHeight="false" outlineLevel="0" collapsed="false">
      <c r="A209" s="20" t="n">
        <f aca="false">ROW()-1</f>
        <v>208</v>
      </c>
      <c r="B209" s="20"/>
      <c r="C209" s="20"/>
      <c r="D209" s="12"/>
    </row>
    <row r="210" customFormat="false" ht="12.8" hidden="false" customHeight="false" outlineLevel="0" collapsed="false">
      <c r="A210" s="20" t="n">
        <f aca="false">ROW()-1</f>
        <v>209</v>
      </c>
      <c r="B210" s="20"/>
      <c r="C210" s="20"/>
      <c r="D210" s="12"/>
    </row>
    <row r="211" customFormat="false" ht="12.8" hidden="false" customHeight="false" outlineLevel="0" collapsed="false">
      <c r="A211" s="20" t="n">
        <f aca="false">ROW()-1</f>
        <v>210</v>
      </c>
      <c r="B211" s="20"/>
      <c r="C211" s="20"/>
      <c r="D211" s="12"/>
    </row>
    <row r="212" customFormat="false" ht="12.8" hidden="false" customHeight="false" outlineLevel="0" collapsed="false">
      <c r="A212" s="20" t="n">
        <f aca="false">ROW()-1</f>
        <v>211</v>
      </c>
      <c r="B212" s="20"/>
      <c r="C212" s="20"/>
      <c r="D212" s="12"/>
    </row>
    <row r="213" customFormat="false" ht="12.8" hidden="false" customHeight="false" outlineLevel="0" collapsed="false">
      <c r="A213" s="20" t="n">
        <f aca="false">ROW()-1</f>
        <v>212</v>
      </c>
      <c r="B213" s="20"/>
      <c r="C213" s="20"/>
      <c r="D213" s="12"/>
    </row>
    <row r="214" customFormat="false" ht="12.8" hidden="false" customHeight="false" outlineLevel="0" collapsed="false">
      <c r="A214" s="20" t="n">
        <f aca="false">ROW()-1</f>
        <v>213</v>
      </c>
      <c r="B214" s="20"/>
      <c r="C214" s="20"/>
      <c r="D214" s="12"/>
    </row>
    <row r="215" customFormat="false" ht="12.8" hidden="false" customHeight="false" outlineLevel="0" collapsed="false">
      <c r="A215" s="20" t="n">
        <f aca="false">ROW()-1</f>
        <v>214</v>
      </c>
      <c r="B215" s="20"/>
      <c r="C215" s="20"/>
      <c r="D215" s="12"/>
    </row>
    <row r="216" customFormat="false" ht="12.8" hidden="false" customHeight="false" outlineLevel="0" collapsed="false">
      <c r="A216" s="20" t="n">
        <f aca="false">ROW()-1</f>
        <v>215</v>
      </c>
      <c r="B216" s="20"/>
      <c r="C216" s="20"/>
      <c r="D216" s="12"/>
    </row>
    <row r="217" customFormat="false" ht="12.8" hidden="false" customHeight="false" outlineLevel="0" collapsed="false">
      <c r="A217" s="20" t="n">
        <f aca="false">ROW()-1</f>
        <v>216</v>
      </c>
      <c r="B217" s="20"/>
      <c r="C217" s="20"/>
      <c r="D217" s="12"/>
    </row>
    <row r="218" customFormat="false" ht="12.8" hidden="false" customHeight="false" outlineLevel="0" collapsed="false">
      <c r="A218" s="20" t="n">
        <f aca="false">ROW()-1</f>
        <v>217</v>
      </c>
      <c r="B218" s="20"/>
      <c r="C218" s="20"/>
      <c r="D218" s="12"/>
    </row>
    <row r="219" customFormat="false" ht="12.8" hidden="false" customHeight="false" outlineLevel="0" collapsed="false">
      <c r="A219" s="20" t="n">
        <f aca="false">ROW()-1</f>
        <v>218</v>
      </c>
      <c r="B219" s="20"/>
      <c r="C219" s="20"/>
      <c r="D219" s="12"/>
    </row>
    <row r="220" customFormat="false" ht="12.8" hidden="false" customHeight="false" outlineLevel="0" collapsed="false">
      <c r="A220" s="20" t="n">
        <f aca="false">ROW()-1</f>
        <v>219</v>
      </c>
      <c r="B220" s="20"/>
      <c r="C220" s="20"/>
      <c r="D220" s="12"/>
    </row>
    <row r="221" customFormat="false" ht="12.8" hidden="false" customHeight="false" outlineLevel="0" collapsed="false">
      <c r="A221" s="20" t="n">
        <f aca="false">ROW()-1</f>
        <v>220</v>
      </c>
      <c r="B221" s="20"/>
      <c r="C221" s="20"/>
      <c r="D221" s="12"/>
    </row>
    <row r="222" customFormat="false" ht="12.8" hidden="false" customHeight="false" outlineLevel="0" collapsed="false">
      <c r="A222" s="20" t="n">
        <f aca="false">ROW()-1</f>
        <v>221</v>
      </c>
      <c r="B222" s="20"/>
      <c r="C222" s="20"/>
      <c r="D222" s="12"/>
    </row>
    <row r="223" customFormat="false" ht="12.8" hidden="false" customHeight="false" outlineLevel="0" collapsed="false">
      <c r="A223" s="20" t="n">
        <f aca="false">ROW()-1</f>
        <v>222</v>
      </c>
      <c r="B223" s="20"/>
      <c r="C223" s="20"/>
      <c r="D223" s="12"/>
    </row>
    <row r="224" customFormat="false" ht="12.8" hidden="false" customHeight="false" outlineLevel="0" collapsed="false">
      <c r="A224" s="20" t="n">
        <f aca="false">ROW()-1</f>
        <v>223</v>
      </c>
      <c r="B224" s="20"/>
      <c r="C224" s="20"/>
      <c r="D224" s="12"/>
    </row>
    <row r="225" customFormat="false" ht="12.8" hidden="false" customHeight="false" outlineLevel="0" collapsed="false">
      <c r="A225" s="20" t="n">
        <f aca="false">ROW()-1</f>
        <v>224</v>
      </c>
      <c r="B225" s="20"/>
      <c r="C225" s="20"/>
      <c r="D225" s="12"/>
    </row>
    <row r="226" customFormat="false" ht="12.8" hidden="false" customHeight="false" outlineLevel="0" collapsed="false">
      <c r="A226" s="20" t="n">
        <f aca="false">ROW()-1</f>
        <v>225</v>
      </c>
      <c r="B226" s="20"/>
      <c r="C226" s="20"/>
      <c r="D226" s="12"/>
    </row>
    <row r="227" customFormat="false" ht="12.8" hidden="false" customHeight="false" outlineLevel="0" collapsed="false">
      <c r="A227" s="20" t="n">
        <f aca="false">ROW()-1</f>
        <v>226</v>
      </c>
      <c r="B227" s="20"/>
      <c r="C227" s="20"/>
      <c r="D227" s="12"/>
    </row>
    <row r="228" customFormat="false" ht="12.8" hidden="false" customHeight="false" outlineLevel="0" collapsed="false">
      <c r="A228" s="20" t="n">
        <f aca="false">ROW()-1</f>
        <v>227</v>
      </c>
      <c r="B228" s="20"/>
      <c r="C228" s="20"/>
      <c r="D228" s="12"/>
    </row>
    <row r="229" customFormat="false" ht="12.8" hidden="false" customHeight="false" outlineLevel="0" collapsed="false">
      <c r="A229" s="20" t="n">
        <f aca="false">ROW()-1</f>
        <v>228</v>
      </c>
      <c r="B229" s="20"/>
      <c r="C229" s="20"/>
      <c r="D229" s="12"/>
    </row>
    <row r="230" customFormat="false" ht="12.8" hidden="false" customHeight="false" outlineLevel="0" collapsed="false">
      <c r="A230" s="20" t="n">
        <f aca="false">ROW()-1</f>
        <v>229</v>
      </c>
      <c r="B230" s="20"/>
      <c r="C230" s="20"/>
      <c r="D230" s="12"/>
    </row>
    <row r="231" customFormat="false" ht="12.8" hidden="false" customHeight="false" outlineLevel="0" collapsed="false">
      <c r="A231" s="20" t="n">
        <f aca="false">ROW()-1</f>
        <v>230</v>
      </c>
      <c r="B231" s="20"/>
      <c r="C231" s="20"/>
      <c r="D231" s="12"/>
    </row>
    <row r="232" customFormat="false" ht="12.8" hidden="false" customHeight="false" outlineLevel="0" collapsed="false">
      <c r="A232" s="20" t="n">
        <f aca="false">ROW()-1</f>
        <v>231</v>
      </c>
      <c r="B232" s="20"/>
      <c r="C232" s="20"/>
      <c r="D232" s="12"/>
    </row>
    <row r="233" customFormat="false" ht="12.8" hidden="false" customHeight="false" outlineLevel="0" collapsed="false">
      <c r="A233" s="20" t="n">
        <f aca="false">ROW()-1</f>
        <v>232</v>
      </c>
      <c r="B233" s="20"/>
      <c r="C233" s="20"/>
      <c r="D233" s="12"/>
    </row>
    <row r="234" customFormat="false" ht="12.8" hidden="false" customHeight="false" outlineLevel="0" collapsed="false">
      <c r="A234" s="20" t="n">
        <f aca="false">ROW()-1</f>
        <v>233</v>
      </c>
      <c r="B234" s="20"/>
      <c r="C234" s="20"/>
      <c r="D234" s="12"/>
    </row>
    <row r="235" customFormat="false" ht="12.8" hidden="false" customHeight="false" outlineLevel="0" collapsed="false">
      <c r="A235" s="20" t="n">
        <f aca="false">ROW()-1</f>
        <v>234</v>
      </c>
      <c r="B235" s="20"/>
      <c r="C235" s="20"/>
      <c r="D235" s="12"/>
    </row>
    <row r="236" customFormat="false" ht="12.8" hidden="false" customHeight="false" outlineLevel="0" collapsed="false">
      <c r="A236" s="20" t="n">
        <f aca="false">ROW()-1</f>
        <v>235</v>
      </c>
      <c r="B236" s="20"/>
      <c r="C236" s="20"/>
      <c r="D236" s="12"/>
    </row>
    <row r="237" customFormat="false" ht="12.8" hidden="false" customHeight="false" outlineLevel="0" collapsed="false">
      <c r="A237" s="20" t="n">
        <f aca="false">ROW()-1</f>
        <v>236</v>
      </c>
      <c r="B237" s="20"/>
      <c r="C237" s="20"/>
      <c r="D237" s="12"/>
    </row>
    <row r="238" customFormat="false" ht="12.8" hidden="false" customHeight="false" outlineLevel="0" collapsed="false">
      <c r="A238" s="20" t="n">
        <f aca="false">ROW()-1</f>
        <v>237</v>
      </c>
      <c r="B238" s="20"/>
      <c r="C238" s="20"/>
      <c r="D238" s="12"/>
    </row>
    <row r="239" customFormat="false" ht="12.8" hidden="false" customHeight="false" outlineLevel="0" collapsed="false">
      <c r="A239" s="20" t="n">
        <f aca="false">ROW()-1</f>
        <v>238</v>
      </c>
      <c r="B239" s="20"/>
      <c r="C239" s="20"/>
      <c r="D239" s="12"/>
    </row>
    <row r="240" customFormat="false" ht="12.8" hidden="false" customHeight="false" outlineLevel="0" collapsed="false">
      <c r="A240" s="20" t="n">
        <f aca="false">ROW()-1</f>
        <v>239</v>
      </c>
      <c r="B240" s="20"/>
      <c r="C240" s="20"/>
      <c r="D240" s="12"/>
    </row>
    <row r="241" customFormat="false" ht="12.8" hidden="false" customHeight="false" outlineLevel="0" collapsed="false">
      <c r="A241" s="20" t="n">
        <f aca="false">ROW()-1</f>
        <v>240</v>
      </c>
      <c r="B241" s="20"/>
      <c r="C241" s="20"/>
      <c r="D241" s="12"/>
    </row>
    <row r="242" customFormat="false" ht="12.8" hidden="false" customHeight="false" outlineLevel="0" collapsed="false">
      <c r="A242" s="20" t="n">
        <f aca="false">ROW()-1</f>
        <v>241</v>
      </c>
      <c r="B242" s="20"/>
      <c r="C242" s="20"/>
      <c r="D242" s="12"/>
    </row>
    <row r="243" customFormat="false" ht="12.8" hidden="false" customHeight="false" outlineLevel="0" collapsed="false">
      <c r="A243" s="20" t="n">
        <f aca="false">ROW()-1</f>
        <v>242</v>
      </c>
      <c r="B243" s="20"/>
      <c r="C243" s="20"/>
      <c r="D243" s="12"/>
    </row>
    <row r="244" customFormat="false" ht="12.8" hidden="false" customHeight="false" outlineLevel="0" collapsed="false">
      <c r="A244" s="20" t="n">
        <f aca="false">ROW()-1</f>
        <v>243</v>
      </c>
      <c r="B244" s="20"/>
      <c r="C244" s="20"/>
      <c r="D244" s="12"/>
    </row>
    <row r="245" customFormat="false" ht="12.8" hidden="false" customHeight="false" outlineLevel="0" collapsed="false">
      <c r="A245" s="20" t="n">
        <f aca="false">ROW()-1</f>
        <v>244</v>
      </c>
      <c r="B245" s="20"/>
      <c r="C245" s="20"/>
      <c r="D245" s="12"/>
    </row>
    <row r="246" customFormat="false" ht="12.8" hidden="false" customHeight="false" outlineLevel="0" collapsed="false">
      <c r="A246" s="20" t="n">
        <f aca="false">ROW()-1</f>
        <v>245</v>
      </c>
      <c r="B246" s="20"/>
      <c r="C246" s="20"/>
      <c r="D246" s="12"/>
    </row>
    <row r="247" customFormat="false" ht="12.8" hidden="false" customHeight="false" outlineLevel="0" collapsed="false">
      <c r="A247" s="20" t="n">
        <f aca="false">ROW()-1</f>
        <v>246</v>
      </c>
      <c r="B247" s="20"/>
      <c r="C247" s="20"/>
      <c r="D247" s="12"/>
    </row>
    <row r="248" customFormat="false" ht="12.8" hidden="false" customHeight="false" outlineLevel="0" collapsed="false">
      <c r="A248" s="20" t="n">
        <f aca="false">ROW()-1</f>
        <v>247</v>
      </c>
      <c r="B248" s="20"/>
      <c r="C248" s="20"/>
      <c r="D248" s="12"/>
    </row>
    <row r="249" customFormat="false" ht="12.8" hidden="false" customHeight="false" outlineLevel="0" collapsed="false">
      <c r="A249" s="20" t="n">
        <f aca="false">ROW()-1</f>
        <v>248</v>
      </c>
      <c r="B249" s="20"/>
      <c r="C249" s="20"/>
      <c r="D249" s="12"/>
    </row>
    <row r="250" customFormat="false" ht="12.8" hidden="false" customHeight="false" outlineLevel="0" collapsed="false">
      <c r="A250" s="20" t="n">
        <f aca="false">ROW()-1</f>
        <v>249</v>
      </c>
      <c r="B250" s="20"/>
      <c r="C250" s="20"/>
      <c r="D250" s="12"/>
    </row>
    <row r="251" customFormat="false" ht="12.8" hidden="false" customHeight="false" outlineLevel="0" collapsed="false">
      <c r="A251" s="20" t="n">
        <f aca="false">ROW()-1</f>
        <v>250</v>
      </c>
      <c r="B251" s="20"/>
      <c r="C251" s="20"/>
      <c r="D251" s="12"/>
    </row>
    <row r="252" customFormat="false" ht="12.8" hidden="false" customHeight="false" outlineLevel="0" collapsed="false">
      <c r="A252" s="20" t="n">
        <f aca="false">ROW()-1</f>
        <v>251</v>
      </c>
      <c r="B252" s="20"/>
      <c r="C252" s="20"/>
      <c r="D252" s="12"/>
    </row>
    <row r="253" customFormat="false" ht="12.8" hidden="false" customHeight="false" outlineLevel="0" collapsed="false">
      <c r="A253" s="20" t="n">
        <f aca="false">ROW()-1</f>
        <v>252</v>
      </c>
      <c r="B253" s="20"/>
      <c r="C253" s="20"/>
      <c r="D253" s="12"/>
    </row>
    <row r="254" customFormat="false" ht="12.8" hidden="false" customHeight="false" outlineLevel="0" collapsed="false">
      <c r="A254" s="20" t="n">
        <f aca="false">ROW()-1</f>
        <v>253</v>
      </c>
      <c r="B254" s="20"/>
      <c r="C254" s="20"/>
      <c r="D254" s="12"/>
    </row>
    <row r="255" customFormat="false" ht="12.8" hidden="false" customHeight="false" outlineLevel="0" collapsed="false">
      <c r="A255" s="20" t="n">
        <f aca="false">ROW()-1</f>
        <v>254</v>
      </c>
      <c r="B255" s="20"/>
      <c r="C255" s="20"/>
      <c r="D255" s="12"/>
    </row>
    <row r="256" customFormat="false" ht="12.8" hidden="false" customHeight="false" outlineLevel="0" collapsed="false">
      <c r="A256" s="20" t="n">
        <f aca="false">ROW()-1</f>
        <v>255</v>
      </c>
      <c r="B256" s="20"/>
      <c r="C256" s="20"/>
      <c r="D256" s="12"/>
    </row>
    <row r="257" customFormat="false" ht="12.8" hidden="false" customHeight="false" outlineLevel="0" collapsed="false">
      <c r="A257" s="20" t="n">
        <f aca="false">ROW()-1</f>
        <v>256</v>
      </c>
      <c r="B257" s="20"/>
      <c r="C257" s="20"/>
      <c r="D257" s="12"/>
    </row>
    <row r="258" customFormat="false" ht="12.8" hidden="false" customHeight="false" outlineLevel="0" collapsed="false">
      <c r="A258" s="20" t="n">
        <f aca="false">ROW()-1</f>
        <v>257</v>
      </c>
      <c r="B258" s="20"/>
      <c r="C258" s="20"/>
      <c r="D258" s="12"/>
    </row>
    <row r="259" customFormat="false" ht="12.8" hidden="false" customHeight="false" outlineLevel="0" collapsed="false">
      <c r="A259" s="20" t="n">
        <f aca="false">ROW()-1</f>
        <v>258</v>
      </c>
      <c r="B259" s="20"/>
      <c r="C259" s="20"/>
      <c r="D259" s="12"/>
    </row>
    <row r="260" customFormat="false" ht="12.8" hidden="false" customHeight="false" outlineLevel="0" collapsed="false">
      <c r="A260" s="20" t="n">
        <f aca="false">ROW()-1</f>
        <v>259</v>
      </c>
      <c r="B260" s="20"/>
      <c r="C260" s="20"/>
      <c r="D260" s="12"/>
    </row>
    <row r="261" customFormat="false" ht="12.8" hidden="false" customHeight="false" outlineLevel="0" collapsed="false">
      <c r="A261" s="20" t="n">
        <f aca="false">ROW()-1</f>
        <v>260</v>
      </c>
      <c r="B261" s="20"/>
      <c r="C261" s="20"/>
      <c r="D261" s="12"/>
    </row>
    <row r="262" customFormat="false" ht="12.8" hidden="false" customHeight="false" outlineLevel="0" collapsed="false">
      <c r="A262" s="20" t="n">
        <f aca="false">ROW()-1</f>
        <v>261</v>
      </c>
      <c r="B262" s="20"/>
      <c r="C262" s="20"/>
      <c r="D262" s="12"/>
    </row>
    <row r="263" customFormat="false" ht="12.8" hidden="false" customHeight="false" outlineLevel="0" collapsed="false">
      <c r="A263" s="20" t="n">
        <f aca="false">ROW()-1</f>
        <v>262</v>
      </c>
      <c r="B263" s="20"/>
      <c r="C263" s="20"/>
      <c r="D263" s="12"/>
    </row>
    <row r="264" customFormat="false" ht="12.8" hidden="false" customHeight="false" outlineLevel="0" collapsed="false">
      <c r="A264" s="20" t="n">
        <f aca="false">ROW()-1</f>
        <v>263</v>
      </c>
      <c r="B264" s="20"/>
      <c r="C264" s="20"/>
      <c r="D264" s="12"/>
    </row>
    <row r="265" customFormat="false" ht="12.8" hidden="false" customHeight="false" outlineLevel="0" collapsed="false">
      <c r="A265" s="20" t="n">
        <f aca="false">ROW()-1</f>
        <v>264</v>
      </c>
      <c r="B265" s="20"/>
      <c r="C265" s="20"/>
      <c r="D265" s="12"/>
    </row>
    <row r="266" customFormat="false" ht="12.8" hidden="false" customHeight="false" outlineLevel="0" collapsed="false">
      <c r="A266" s="20" t="n">
        <f aca="false">ROW()-1</f>
        <v>265</v>
      </c>
      <c r="B266" s="20"/>
      <c r="C266" s="20"/>
      <c r="D266" s="12"/>
    </row>
    <row r="267" customFormat="false" ht="12.8" hidden="false" customHeight="false" outlineLevel="0" collapsed="false">
      <c r="A267" s="20" t="n">
        <f aca="false">ROW()-1</f>
        <v>266</v>
      </c>
      <c r="B267" s="20"/>
      <c r="C267" s="20"/>
      <c r="D267" s="12"/>
    </row>
    <row r="268" customFormat="false" ht="12.8" hidden="false" customHeight="false" outlineLevel="0" collapsed="false">
      <c r="A268" s="20" t="n">
        <f aca="false">ROW()-1</f>
        <v>267</v>
      </c>
      <c r="B268" s="20"/>
      <c r="C268" s="20"/>
      <c r="D268" s="12"/>
    </row>
    <row r="269" customFormat="false" ht="12.8" hidden="false" customHeight="false" outlineLevel="0" collapsed="false">
      <c r="A269" s="20" t="n">
        <f aca="false">ROW()-1</f>
        <v>268</v>
      </c>
      <c r="B269" s="20"/>
      <c r="C269" s="20"/>
      <c r="D269" s="12"/>
    </row>
    <row r="270" customFormat="false" ht="12.8" hidden="false" customHeight="false" outlineLevel="0" collapsed="false">
      <c r="A270" s="20" t="n">
        <f aca="false">ROW()-1</f>
        <v>269</v>
      </c>
      <c r="B270" s="20"/>
      <c r="C270" s="20"/>
      <c r="D270" s="12"/>
    </row>
    <row r="271" customFormat="false" ht="12.8" hidden="false" customHeight="false" outlineLevel="0" collapsed="false">
      <c r="A271" s="20" t="n">
        <f aca="false">ROW()-1</f>
        <v>270</v>
      </c>
      <c r="B271" s="20"/>
      <c r="C271" s="20"/>
      <c r="D271" s="12"/>
    </row>
    <row r="272" customFormat="false" ht="12.8" hidden="false" customHeight="false" outlineLevel="0" collapsed="false">
      <c r="A272" s="20" t="n">
        <f aca="false">ROW()-1</f>
        <v>271</v>
      </c>
      <c r="B272" s="20"/>
      <c r="C272" s="20"/>
      <c r="D272" s="12"/>
    </row>
    <row r="273" customFormat="false" ht="12.8" hidden="false" customHeight="false" outlineLevel="0" collapsed="false">
      <c r="A273" s="20" t="n">
        <f aca="false">ROW()-1</f>
        <v>272</v>
      </c>
      <c r="B273" s="20"/>
      <c r="C273" s="20"/>
      <c r="D273" s="12"/>
    </row>
    <row r="274" customFormat="false" ht="12.8" hidden="false" customHeight="false" outlineLevel="0" collapsed="false">
      <c r="A274" s="20" t="n">
        <f aca="false">ROW()-1</f>
        <v>273</v>
      </c>
      <c r="B274" s="20"/>
      <c r="C274" s="20"/>
      <c r="D274" s="12"/>
    </row>
    <row r="275" customFormat="false" ht="12.8" hidden="false" customHeight="false" outlineLevel="0" collapsed="false">
      <c r="A275" s="20" t="n">
        <f aca="false">ROW()-1</f>
        <v>274</v>
      </c>
      <c r="B275" s="20"/>
      <c r="C275" s="20"/>
      <c r="D275" s="12"/>
    </row>
    <row r="276" customFormat="false" ht="12.8" hidden="false" customHeight="false" outlineLevel="0" collapsed="false">
      <c r="A276" s="20" t="n">
        <f aca="false">ROW()-1</f>
        <v>275</v>
      </c>
      <c r="B276" s="20"/>
      <c r="C276" s="20"/>
      <c r="D276" s="12"/>
    </row>
    <row r="277" customFormat="false" ht="12.8" hidden="false" customHeight="false" outlineLevel="0" collapsed="false">
      <c r="A277" s="20" t="n">
        <f aca="false">ROW()-1</f>
        <v>276</v>
      </c>
      <c r="B277" s="20"/>
      <c r="C277" s="20"/>
      <c r="D277" s="12"/>
    </row>
    <row r="278" customFormat="false" ht="12.8" hidden="false" customHeight="false" outlineLevel="0" collapsed="false">
      <c r="A278" s="20" t="n">
        <f aca="false">ROW()-1</f>
        <v>277</v>
      </c>
      <c r="B278" s="20"/>
      <c r="C278" s="20"/>
      <c r="D278" s="12"/>
    </row>
    <row r="279" customFormat="false" ht="12.8" hidden="false" customHeight="false" outlineLevel="0" collapsed="false">
      <c r="A279" s="20" t="n">
        <f aca="false">ROW()-1</f>
        <v>278</v>
      </c>
      <c r="B279" s="20"/>
      <c r="C279" s="20"/>
      <c r="D279" s="12"/>
    </row>
    <row r="280" customFormat="false" ht="12.8" hidden="false" customHeight="false" outlineLevel="0" collapsed="false">
      <c r="A280" s="20" t="n">
        <f aca="false">ROW()-1</f>
        <v>279</v>
      </c>
      <c r="B280" s="20"/>
      <c r="C280" s="20"/>
      <c r="D280" s="12"/>
    </row>
    <row r="281" customFormat="false" ht="12.8" hidden="false" customHeight="false" outlineLevel="0" collapsed="false">
      <c r="A281" s="20" t="n">
        <f aca="false">ROW()-1</f>
        <v>280</v>
      </c>
      <c r="B281" s="20"/>
      <c r="C281" s="20"/>
      <c r="D281" s="12"/>
    </row>
    <row r="282" customFormat="false" ht="12.8" hidden="false" customHeight="false" outlineLevel="0" collapsed="false">
      <c r="A282" s="20" t="n">
        <f aca="false">ROW()-1</f>
        <v>281</v>
      </c>
      <c r="B282" s="20"/>
      <c r="C282" s="20"/>
      <c r="D282" s="12"/>
    </row>
    <row r="283" customFormat="false" ht="12.8" hidden="false" customHeight="false" outlineLevel="0" collapsed="false">
      <c r="A283" s="20" t="n">
        <f aca="false">ROW()-1</f>
        <v>282</v>
      </c>
      <c r="B283" s="20"/>
      <c r="C283" s="20"/>
      <c r="D283" s="12"/>
    </row>
    <row r="284" customFormat="false" ht="12.8" hidden="false" customHeight="false" outlineLevel="0" collapsed="false">
      <c r="A284" s="20" t="n">
        <f aca="false">ROW()-1</f>
        <v>283</v>
      </c>
      <c r="B284" s="20"/>
      <c r="C284" s="20"/>
      <c r="D284" s="12"/>
    </row>
    <row r="285" customFormat="false" ht="12.8" hidden="false" customHeight="false" outlineLevel="0" collapsed="false">
      <c r="A285" s="20" t="n">
        <f aca="false">ROW()-1</f>
        <v>284</v>
      </c>
      <c r="B285" s="20"/>
      <c r="C285" s="20"/>
      <c r="D285" s="12"/>
    </row>
    <row r="286" customFormat="false" ht="12.8" hidden="false" customHeight="false" outlineLevel="0" collapsed="false">
      <c r="A286" s="20" t="n">
        <f aca="false">ROW()-1</f>
        <v>285</v>
      </c>
      <c r="B286" s="20"/>
      <c r="C286" s="20"/>
      <c r="D286" s="12"/>
    </row>
    <row r="287" customFormat="false" ht="12.8" hidden="false" customHeight="false" outlineLevel="0" collapsed="false">
      <c r="A287" s="20" t="n">
        <f aca="false">ROW()-1</f>
        <v>286</v>
      </c>
      <c r="B287" s="20"/>
      <c r="C287" s="20"/>
      <c r="D287" s="12"/>
    </row>
    <row r="288" customFormat="false" ht="12.8" hidden="false" customHeight="false" outlineLevel="0" collapsed="false">
      <c r="A288" s="20" t="n">
        <f aca="false">ROW()-1</f>
        <v>287</v>
      </c>
      <c r="B288" s="20"/>
      <c r="C288" s="20"/>
      <c r="D288" s="12"/>
    </row>
    <row r="289" customFormat="false" ht="12.8" hidden="false" customHeight="false" outlineLevel="0" collapsed="false">
      <c r="A289" s="20" t="n">
        <f aca="false">ROW()-1</f>
        <v>288</v>
      </c>
      <c r="B289" s="20"/>
      <c r="C289" s="20"/>
      <c r="D289" s="12"/>
    </row>
    <row r="290" customFormat="false" ht="12.8" hidden="false" customHeight="false" outlineLevel="0" collapsed="false">
      <c r="A290" s="20" t="n">
        <f aca="false">ROW()-1</f>
        <v>289</v>
      </c>
      <c r="B290" s="20"/>
      <c r="C290" s="20"/>
      <c r="D290" s="12"/>
    </row>
    <row r="291" customFormat="false" ht="12.8" hidden="false" customHeight="false" outlineLevel="0" collapsed="false">
      <c r="A291" s="20" t="n">
        <f aca="false">ROW()-1</f>
        <v>290</v>
      </c>
      <c r="B291" s="20"/>
      <c r="C291" s="20"/>
      <c r="D291" s="12"/>
    </row>
    <row r="292" customFormat="false" ht="12.8" hidden="false" customHeight="false" outlineLevel="0" collapsed="false">
      <c r="A292" s="20" t="n">
        <f aca="false">ROW()-1</f>
        <v>291</v>
      </c>
      <c r="B292" s="20"/>
      <c r="C292" s="20"/>
      <c r="D292" s="12"/>
    </row>
    <row r="293" customFormat="false" ht="12.8" hidden="false" customHeight="false" outlineLevel="0" collapsed="false">
      <c r="A293" s="20" t="n">
        <f aca="false">ROW()-1</f>
        <v>292</v>
      </c>
      <c r="B293" s="20"/>
      <c r="C293" s="20"/>
      <c r="D293" s="12"/>
    </row>
    <row r="294" customFormat="false" ht="12.8" hidden="false" customHeight="false" outlineLevel="0" collapsed="false">
      <c r="A294" s="20" t="n">
        <f aca="false">ROW()-1</f>
        <v>293</v>
      </c>
      <c r="B294" s="20"/>
      <c r="C294" s="20"/>
      <c r="D294" s="12"/>
    </row>
    <row r="295" customFormat="false" ht="12.8" hidden="false" customHeight="false" outlineLevel="0" collapsed="false">
      <c r="A295" s="20" t="n">
        <f aca="false">ROW()-1</f>
        <v>294</v>
      </c>
      <c r="B295" s="20"/>
      <c r="C295" s="20"/>
      <c r="D295" s="12"/>
    </row>
    <row r="296" customFormat="false" ht="12.8" hidden="false" customHeight="false" outlineLevel="0" collapsed="false">
      <c r="A296" s="20" t="n">
        <f aca="false">ROW()-1</f>
        <v>295</v>
      </c>
      <c r="B296" s="20"/>
      <c r="C296" s="20"/>
      <c r="D296" s="12"/>
    </row>
    <row r="297" customFormat="false" ht="12.8" hidden="false" customHeight="false" outlineLevel="0" collapsed="false">
      <c r="A297" s="20" t="n">
        <f aca="false">ROW()-1</f>
        <v>296</v>
      </c>
      <c r="B297" s="20"/>
      <c r="C297" s="20"/>
      <c r="D297" s="12"/>
    </row>
    <row r="298" customFormat="false" ht="12.8" hidden="false" customHeight="false" outlineLevel="0" collapsed="false">
      <c r="A298" s="20" t="n">
        <f aca="false">ROW()-1</f>
        <v>297</v>
      </c>
      <c r="B298" s="20"/>
      <c r="C298" s="20"/>
      <c r="D298" s="12"/>
    </row>
    <row r="299" customFormat="false" ht="12.8" hidden="false" customHeight="false" outlineLevel="0" collapsed="false">
      <c r="A299" s="20" t="n">
        <f aca="false">ROW()-1</f>
        <v>298</v>
      </c>
      <c r="B299" s="20"/>
      <c r="C299" s="20"/>
      <c r="D299" s="12"/>
    </row>
    <row r="300" customFormat="false" ht="12.8" hidden="false" customHeight="false" outlineLevel="0" collapsed="false">
      <c r="A300" s="20" t="n">
        <f aca="false">ROW()-1</f>
        <v>299</v>
      </c>
      <c r="B300" s="20"/>
      <c r="C300" s="20"/>
      <c r="D300" s="12"/>
    </row>
    <row r="301" customFormat="false" ht="12.8" hidden="false" customHeight="false" outlineLevel="0" collapsed="false">
      <c r="A301" s="20" t="n">
        <f aca="false">ROW()-1</f>
        <v>300</v>
      </c>
      <c r="B301" s="20"/>
      <c r="C301" s="20"/>
      <c r="D301" s="12"/>
    </row>
  </sheetData>
  <conditionalFormatting sqref="D1:D600">
    <cfRule type="containsText" priority="2" operator="containsText" aboveAverage="0" equalAverage="0" bottom="0" percent="0" rank="0" text="Easy" dxfId="0">
      <formula>NOT(ISERROR(SEARCH("Easy",D1)))</formula>
    </cfRule>
    <cfRule type="containsText" priority="3" operator="containsText" aboveAverage="0" equalAverage="0" bottom="0" percent="0" rank="0" text="Medium" dxfId="1">
      <formula>NOT(ISERROR(SEARCH("Medium",D1)))</formula>
    </cfRule>
    <cfRule type="containsText" priority="4" operator="containsText" aboveAverage="0" equalAverage="0" bottom="0" percent="0" rank="0" text="Hard" dxfId="2">
      <formula>NOT(ISERROR(SEARCH("Hard",D1)))</formula>
    </cfRule>
  </conditionalFormatting>
  <dataValidations count="1">
    <dataValidation allowBlank="true" errorStyle="stop" operator="equal" showDropDown="false" showErrorMessage="true" showInputMessage="false" sqref="D1:D1301" type="list">
      <formula1>"Easy,Medium,Hard"</formula1>
      <formula2>0</formula2>
    </dataValidation>
  </dataValidations>
  <hyperlinks>
    <hyperlink ref="B2" r:id="rId1" display="two-sum"/>
    <hyperlink ref="B3" r:id="rId2" display="contains-duplicate"/>
    <hyperlink ref="B4" r:id="rId3" display="contains-duplicate-ii"/>
    <hyperlink ref="B5" r:id="rId4" display="347. Top K Frequent Elements"/>
    <hyperlink ref="B6" r:id="rId5" display="valid-anagra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8" activeCellId="0" sqref="C1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35.01"/>
    <col collapsed="false" customWidth="true" hidden="false" outlineLevel="0" max="2" min="2" style="29" width="5.21"/>
    <col collapsed="false" customWidth="true" hidden="false" outlineLevel="0" max="3" min="3" style="30" width="21.3"/>
    <col collapsed="false" customWidth="true" hidden="false" outlineLevel="0" max="4" min="4" style="2" width="51.59"/>
    <col collapsed="false" customWidth="true" hidden="false" outlineLevel="0" max="5" min="5" style="2" width="38.37"/>
    <col collapsed="false" customWidth="true" hidden="false" outlineLevel="0" max="6" min="6" style="2" width="16.97"/>
    <col collapsed="false" customWidth="true" hidden="false" outlineLevel="0" max="7" min="7" style="2" width="19.61"/>
    <col collapsed="false" customWidth="true" hidden="false" outlineLevel="0" max="8" min="8" style="2" width="22.4"/>
    <col collapsed="false" customWidth="true" hidden="false" outlineLevel="0" max="9" min="9" style="2" width="28.52"/>
    <col collapsed="false" customWidth="true" hidden="false" outlineLevel="0" max="10" min="10" style="8" width="15.99"/>
  </cols>
  <sheetData>
    <row r="1" customFormat="false" ht="12.8" hidden="false" customHeight="false" outlineLevel="0" collapsed="false">
      <c r="A1" s="31" t="s">
        <v>46</v>
      </c>
      <c r="B1" s="31" t="s">
        <v>47</v>
      </c>
      <c r="C1" s="31" t="s">
        <v>39</v>
      </c>
      <c r="D1" s="31" t="s">
        <v>48</v>
      </c>
      <c r="E1" s="31" t="s">
        <v>49</v>
      </c>
    </row>
    <row r="2" customFormat="false" ht="12.8" hidden="false" customHeight="false" outlineLevel="0" collapsed="false">
      <c r="A2" s="32" t="s">
        <v>50</v>
      </c>
      <c r="B2" s="33" t="n">
        <v>1</v>
      </c>
      <c r="C2" s="15" t="s">
        <v>51</v>
      </c>
      <c r="D2" s="15" t="s">
        <v>52</v>
      </c>
      <c r="E2" s="15" t="s">
        <v>53</v>
      </c>
    </row>
    <row r="3" customFormat="false" ht="12.8" hidden="false" customHeight="false" outlineLevel="0" collapsed="false">
      <c r="A3" s="34"/>
      <c r="B3" s="33" t="n">
        <v>2</v>
      </c>
      <c r="C3" s="15" t="s">
        <v>54</v>
      </c>
      <c r="D3" s="15" t="s">
        <v>55</v>
      </c>
      <c r="E3" s="15" t="s">
        <v>56</v>
      </c>
    </row>
    <row r="4" customFormat="false" ht="23.85" hidden="false" customHeight="false" outlineLevel="0" collapsed="false">
      <c r="A4" s="34"/>
      <c r="B4" s="33" t="n">
        <v>3</v>
      </c>
      <c r="C4" s="15" t="s">
        <v>57</v>
      </c>
      <c r="D4" s="15" t="s">
        <v>58</v>
      </c>
      <c r="E4" s="15" t="s">
        <v>59</v>
      </c>
    </row>
    <row r="5" customFormat="false" ht="12.8" hidden="false" customHeight="false" outlineLevel="0" collapsed="false">
      <c r="A5" s="34"/>
      <c r="B5" s="33" t="n">
        <v>4</v>
      </c>
      <c r="C5" s="15" t="s">
        <v>60</v>
      </c>
      <c r="D5" s="15" t="s">
        <v>61</v>
      </c>
      <c r="E5" s="15" t="s">
        <v>62</v>
      </c>
    </row>
    <row r="6" customFormat="false" ht="12.8" hidden="false" customHeight="false" outlineLevel="0" collapsed="false">
      <c r="A6" s="34"/>
      <c r="B6" s="33" t="n">
        <v>5</v>
      </c>
      <c r="C6" s="15" t="s">
        <v>63</v>
      </c>
      <c r="D6" s="15" t="s">
        <v>64</v>
      </c>
      <c r="E6" s="15" t="s">
        <v>65</v>
      </c>
    </row>
    <row r="7" customFormat="false" ht="12.8" hidden="false" customHeight="false" outlineLevel="0" collapsed="false">
      <c r="A7" s="34"/>
      <c r="B7" s="33" t="n">
        <v>6</v>
      </c>
      <c r="C7" s="15" t="s">
        <v>66</v>
      </c>
      <c r="D7" s="15" t="s">
        <v>67</v>
      </c>
      <c r="E7" s="15" t="s">
        <v>68</v>
      </c>
    </row>
    <row r="8" customFormat="false" ht="12.8" hidden="false" customHeight="false" outlineLevel="0" collapsed="false">
      <c r="A8" s="34"/>
      <c r="B8" s="33" t="n">
        <v>7</v>
      </c>
      <c r="C8" s="15" t="s">
        <v>69</v>
      </c>
      <c r="D8" s="15" t="s">
        <v>70</v>
      </c>
      <c r="E8" s="15" t="s">
        <v>71</v>
      </c>
    </row>
    <row r="9" customFormat="false" ht="12.8" hidden="false" customHeight="false" outlineLevel="0" collapsed="false">
      <c r="B9" s="1"/>
    </row>
    <row r="10" customFormat="false" ht="12.8" hidden="false" customHeight="false" outlineLevel="0" collapsed="false">
      <c r="A10" s="32" t="s">
        <v>72</v>
      </c>
      <c r="B10" s="33" t="n">
        <v>8</v>
      </c>
      <c r="C10" s="15" t="s">
        <v>73</v>
      </c>
      <c r="D10" s="24" t="s">
        <v>74</v>
      </c>
      <c r="E10" s="24" t="s">
        <v>75</v>
      </c>
    </row>
    <row r="11" customFormat="false" ht="12.8" hidden="false" customHeight="false" outlineLevel="0" collapsed="false">
      <c r="A11" s="35"/>
      <c r="B11" s="33" t="n">
        <v>9</v>
      </c>
      <c r="C11" s="15" t="s">
        <v>76</v>
      </c>
      <c r="D11" s="24" t="s">
        <v>77</v>
      </c>
      <c r="E11" s="24" t="s">
        <v>78</v>
      </c>
    </row>
    <row r="12" customFormat="false" ht="12.8" hidden="false" customHeight="false" outlineLevel="0" collapsed="false">
      <c r="A12" s="35"/>
      <c r="B12" s="33" t="n">
        <v>10</v>
      </c>
      <c r="C12" s="15" t="s">
        <v>79</v>
      </c>
      <c r="D12" s="24" t="s">
        <v>80</v>
      </c>
      <c r="E12" s="24" t="s">
        <v>81</v>
      </c>
    </row>
    <row r="13" customFormat="false" ht="12.8" hidden="false" customHeight="false" outlineLevel="0" collapsed="false">
      <c r="A13" s="35"/>
      <c r="B13" s="33" t="n">
        <v>11</v>
      </c>
      <c r="C13" s="15" t="s">
        <v>82</v>
      </c>
      <c r="D13" s="24" t="s">
        <v>83</v>
      </c>
      <c r="E13" s="24" t="s">
        <v>84</v>
      </c>
    </row>
    <row r="14" customFormat="false" ht="12.8" hidden="false" customHeight="false" outlineLevel="0" collapsed="false">
      <c r="A14" s="35"/>
      <c r="B14" s="33" t="n">
        <v>12</v>
      </c>
      <c r="C14" s="15" t="s">
        <v>85</v>
      </c>
      <c r="D14" s="24" t="s">
        <v>86</v>
      </c>
      <c r="E14" s="24" t="s">
        <v>87</v>
      </c>
    </row>
    <row r="15" customFormat="false" ht="12.8" hidden="false" customHeight="false" outlineLevel="0" collapsed="false">
      <c r="A15" s="35"/>
      <c r="B15" s="33" t="n">
        <v>13</v>
      </c>
      <c r="C15" s="15" t="s">
        <v>88</v>
      </c>
      <c r="D15" s="24" t="s">
        <v>89</v>
      </c>
      <c r="E15" s="24" t="s">
        <v>90</v>
      </c>
    </row>
    <row r="16" customFormat="false" ht="12.8" hidden="false" customHeight="false" outlineLevel="0" collapsed="false">
      <c r="A16" s="35"/>
      <c r="B16" s="33" t="n">
        <v>14</v>
      </c>
      <c r="C16" s="15" t="s">
        <v>91</v>
      </c>
      <c r="D16" s="24" t="s">
        <v>92</v>
      </c>
      <c r="E16" s="24" t="s">
        <v>93</v>
      </c>
    </row>
    <row r="17" customFormat="false" ht="12.8" hidden="false" customHeight="false" outlineLevel="0" collapsed="false">
      <c r="B17" s="1"/>
    </row>
    <row r="18" customFormat="false" ht="12.8" hidden="false" customHeight="false" outlineLevel="0" collapsed="false">
      <c r="A18" s="32" t="s">
        <v>94</v>
      </c>
      <c r="B18" s="33" t="n">
        <v>15</v>
      </c>
      <c r="C18" s="15" t="s">
        <v>95</v>
      </c>
      <c r="D18" s="24" t="s">
        <v>96</v>
      </c>
      <c r="E18" s="24" t="s">
        <v>97</v>
      </c>
    </row>
    <row r="19" customFormat="false" ht="12.8" hidden="false" customHeight="false" outlineLevel="0" collapsed="false">
      <c r="A19" s="35"/>
      <c r="B19" s="33" t="n">
        <v>16</v>
      </c>
      <c r="C19" s="15" t="s">
        <v>98</v>
      </c>
      <c r="D19" s="24" t="s">
        <v>99</v>
      </c>
      <c r="E19" s="24" t="s">
        <v>100</v>
      </c>
    </row>
    <row r="20" customFormat="false" ht="12.8" hidden="false" customHeight="false" outlineLevel="0" collapsed="false">
      <c r="A20" s="35"/>
      <c r="B20" s="33" t="n">
        <v>17</v>
      </c>
      <c r="C20" s="15" t="s">
        <v>101</v>
      </c>
      <c r="D20" s="24" t="s">
        <v>102</v>
      </c>
      <c r="E20" s="24" t="s">
        <v>103</v>
      </c>
    </row>
    <row r="21" customFormat="false" ht="12.8" hidden="false" customHeight="false" outlineLevel="0" collapsed="false">
      <c r="A21" s="35"/>
      <c r="B21" s="33" t="n">
        <v>18</v>
      </c>
      <c r="C21" s="15" t="s">
        <v>104</v>
      </c>
      <c r="D21" s="24" t="s">
        <v>105</v>
      </c>
      <c r="E21" s="24" t="s">
        <v>106</v>
      </c>
    </row>
    <row r="22" customFormat="false" ht="12.8" hidden="false" customHeight="false" outlineLevel="0" collapsed="false">
      <c r="A22" s="35"/>
      <c r="B22" s="33" t="n">
        <v>19</v>
      </c>
      <c r="C22" s="15" t="s">
        <v>107</v>
      </c>
      <c r="D22" s="24" t="s">
        <v>108</v>
      </c>
      <c r="E22" s="24" t="s">
        <v>109</v>
      </c>
    </row>
    <row r="23" customFormat="false" ht="12.8" hidden="false" customHeight="false" outlineLevel="0" collapsed="false">
      <c r="A23" s="35"/>
      <c r="B23" s="33" t="n">
        <v>20</v>
      </c>
      <c r="C23" s="15" t="s">
        <v>110</v>
      </c>
      <c r="D23" s="24" t="s">
        <v>111</v>
      </c>
      <c r="E23" s="24" t="s">
        <v>112</v>
      </c>
    </row>
    <row r="24" customFormat="false" ht="12.8" hidden="false" customHeight="false" outlineLevel="0" collapsed="false">
      <c r="A24" s="35"/>
      <c r="B24" s="33" t="n">
        <v>21</v>
      </c>
      <c r="C24" s="15" t="s">
        <v>113</v>
      </c>
      <c r="D24" s="24" t="s">
        <v>114</v>
      </c>
      <c r="E24" s="24" t="s">
        <v>115</v>
      </c>
    </row>
    <row r="25" customFormat="false" ht="12.8" hidden="false" customHeight="false" outlineLevel="0" collapsed="false">
      <c r="B25" s="1"/>
    </row>
    <row r="26" customFormat="false" ht="12.8" hidden="false" customHeight="false" outlineLevel="0" collapsed="false">
      <c r="A26" s="32" t="s">
        <v>116</v>
      </c>
      <c r="B26" s="33" t="n">
        <v>22</v>
      </c>
      <c r="C26" s="24" t="s">
        <v>117</v>
      </c>
      <c r="D26" s="24" t="s">
        <v>118</v>
      </c>
      <c r="E26" s="24" t="s">
        <v>119</v>
      </c>
    </row>
    <row r="27" customFormat="false" ht="12.8" hidden="false" customHeight="false" outlineLevel="0" collapsed="false">
      <c r="A27" s="35"/>
      <c r="B27" s="33" t="n">
        <v>23</v>
      </c>
      <c r="C27" s="24" t="s">
        <v>120</v>
      </c>
      <c r="D27" s="24" t="s">
        <v>121</v>
      </c>
      <c r="E27" s="24" t="s">
        <v>122</v>
      </c>
    </row>
    <row r="28" customFormat="false" ht="12.8" hidden="false" customHeight="false" outlineLevel="0" collapsed="false">
      <c r="A28" s="35"/>
      <c r="B28" s="33" t="n">
        <v>24</v>
      </c>
      <c r="C28" s="24" t="s">
        <v>123</v>
      </c>
      <c r="D28" s="24" t="s">
        <v>124</v>
      </c>
      <c r="E28" s="24" t="s">
        <v>125</v>
      </c>
    </row>
    <row r="29" customFormat="false" ht="12.8" hidden="false" customHeight="false" outlineLevel="0" collapsed="false">
      <c r="A29" s="35"/>
      <c r="B29" s="33" t="n">
        <v>25</v>
      </c>
      <c r="C29" s="24" t="s">
        <v>126</v>
      </c>
      <c r="D29" s="24" t="s">
        <v>127</v>
      </c>
      <c r="E29" s="24" t="s">
        <v>128</v>
      </c>
    </row>
    <row r="30" customFormat="false" ht="12.8" hidden="false" customHeight="false" outlineLevel="0" collapsed="false">
      <c r="A30" s="35"/>
      <c r="B30" s="33" t="n">
        <v>26</v>
      </c>
      <c r="C30" s="24" t="s">
        <v>129</v>
      </c>
      <c r="D30" s="24" t="s">
        <v>130</v>
      </c>
      <c r="E30" s="24" t="s">
        <v>131</v>
      </c>
    </row>
    <row r="31" customFormat="false" ht="12.8" hidden="false" customHeight="false" outlineLevel="0" collapsed="false">
      <c r="A31" s="35"/>
      <c r="B31" s="33" t="n">
        <v>27</v>
      </c>
      <c r="C31" s="24" t="s">
        <v>132</v>
      </c>
      <c r="D31" s="24" t="s">
        <v>133</v>
      </c>
      <c r="E31" s="24" t="s">
        <v>134</v>
      </c>
    </row>
    <row r="32" customFormat="false" ht="12.8" hidden="false" customHeight="false" outlineLevel="0" collapsed="false">
      <c r="A32" s="35"/>
      <c r="B32" s="33" t="n">
        <v>28</v>
      </c>
      <c r="C32" s="24" t="s">
        <v>135</v>
      </c>
      <c r="D32" s="24" t="s">
        <v>136</v>
      </c>
      <c r="E32" s="24" t="s">
        <v>137</v>
      </c>
    </row>
    <row r="33" customFormat="false" ht="12.8" hidden="false" customHeight="false" outlineLevel="0" collapsed="false">
      <c r="A33" s="35"/>
      <c r="B33" s="33" t="n">
        <v>29</v>
      </c>
      <c r="C33" s="24" t="s">
        <v>138</v>
      </c>
      <c r="D33" s="24" t="s">
        <v>139</v>
      </c>
      <c r="E33" s="24" t="s">
        <v>140</v>
      </c>
    </row>
    <row r="34" customFormat="false" ht="12.8" hidden="false" customHeight="false" outlineLevel="0" collapsed="false">
      <c r="A34" s="35"/>
      <c r="B34" s="33" t="n">
        <v>30</v>
      </c>
      <c r="C34" s="24" t="s">
        <v>141</v>
      </c>
      <c r="D34" s="24" t="s">
        <v>142</v>
      </c>
      <c r="E34" s="24" t="s">
        <v>143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8" width="32.81"/>
    <col collapsed="false" customWidth="true" hidden="false" outlineLevel="0" max="3" min="3" style="8" width="61.44"/>
    <col collapsed="false" customWidth="true" hidden="false" outlineLevel="0" max="4" min="4" style="2" width="18.79"/>
    <col collapsed="false" customWidth="true" hidden="false" outlineLevel="0" max="5" min="5" style="2" width="16.55"/>
    <col collapsed="false" customWidth="true" hidden="false" outlineLevel="0" max="6" min="6" style="2" width="16.97"/>
    <col collapsed="false" customWidth="true" hidden="false" outlineLevel="0" max="7" min="7" style="2" width="19.61"/>
    <col collapsed="false" customWidth="true" hidden="false" outlineLevel="0" max="8" min="8" style="2" width="22.4"/>
    <col collapsed="false" customWidth="true" hidden="false" outlineLevel="0" max="9" min="9" style="2" width="28.52"/>
    <col collapsed="false" customWidth="true" hidden="false" outlineLevel="0" max="10" min="10" style="8" width="15.99"/>
  </cols>
  <sheetData>
    <row r="1" customFormat="false" ht="23.6" hidden="false" customHeight="true" outlineLevel="0" collapsed="false">
      <c r="A1" s="36" t="s">
        <v>144</v>
      </c>
      <c r="B1" s="36"/>
      <c r="C1" s="36"/>
      <c r="D1" s="36"/>
      <c r="E1" s="8"/>
      <c r="F1" s="8"/>
      <c r="G1" s="8"/>
      <c r="H1" s="8"/>
      <c r="I1" s="8"/>
    </row>
    <row r="2" customFormat="false" ht="12.8" hidden="false" customHeight="true" outlineLevel="0" collapsed="false">
      <c r="A2" s="37" t="s">
        <v>47</v>
      </c>
      <c r="B2" s="37" t="s">
        <v>39</v>
      </c>
      <c r="C2" s="37" t="s">
        <v>145</v>
      </c>
      <c r="D2" s="8"/>
      <c r="E2" s="8"/>
      <c r="F2" s="8"/>
      <c r="G2" s="8"/>
      <c r="H2" s="8"/>
      <c r="I2" s="8"/>
    </row>
    <row r="3" customFormat="false" ht="12.8" hidden="false" customHeight="true" outlineLevel="0" collapsed="false">
      <c r="A3" s="24" t="s">
        <v>146</v>
      </c>
      <c r="B3" s="24" t="s">
        <v>147</v>
      </c>
      <c r="C3" s="24" t="s">
        <v>148</v>
      </c>
      <c r="D3" s="8"/>
      <c r="E3" s="8"/>
      <c r="F3" s="8"/>
      <c r="G3" s="8"/>
      <c r="H3" s="8"/>
      <c r="I3" s="8"/>
    </row>
    <row r="4" customFormat="false" ht="12.8" hidden="false" customHeight="true" outlineLevel="0" collapsed="false">
      <c r="A4" s="24" t="s">
        <v>149</v>
      </c>
      <c r="B4" s="24" t="s">
        <v>150</v>
      </c>
      <c r="C4" s="24" t="s">
        <v>151</v>
      </c>
      <c r="D4" s="8"/>
      <c r="E4" s="8"/>
      <c r="F4" s="8"/>
      <c r="G4" s="8"/>
      <c r="H4" s="8"/>
      <c r="I4" s="8"/>
    </row>
    <row r="5" customFormat="false" ht="12.8" hidden="false" customHeight="true" outlineLevel="0" collapsed="false">
      <c r="A5" s="24" t="s">
        <v>152</v>
      </c>
      <c r="B5" s="24" t="s">
        <v>153</v>
      </c>
      <c r="C5" s="24" t="s">
        <v>154</v>
      </c>
      <c r="D5" s="8"/>
      <c r="E5" s="8"/>
      <c r="F5" s="8"/>
      <c r="G5" s="8"/>
      <c r="H5" s="8"/>
      <c r="I5" s="8"/>
    </row>
    <row r="6" customFormat="false" ht="12.8" hidden="false" customHeight="true" outlineLevel="0" collapsed="false">
      <c r="A6" s="24" t="s">
        <v>155</v>
      </c>
      <c r="B6" s="24" t="s">
        <v>156</v>
      </c>
      <c r="C6" s="24" t="s">
        <v>157</v>
      </c>
      <c r="D6" s="8"/>
      <c r="E6" s="8"/>
      <c r="F6" s="8"/>
      <c r="G6" s="8"/>
      <c r="H6" s="8"/>
      <c r="I6" s="8"/>
    </row>
    <row r="7" customFormat="false" ht="12.8" hidden="false" customHeight="true" outlineLevel="0" collapsed="false">
      <c r="A7" s="24" t="s">
        <v>158</v>
      </c>
      <c r="B7" s="24" t="s">
        <v>159</v>
      </c>
      <c r="C7" s="24" t="s">
        <v>160</v>
      </c>
      <c r="D7" s="8"/>
      <c r="E7" s="8"/>
      <c r="F7" s="8"/>
      <c r="G7" s="8"/>
      <c r="H7" s="8"/>
      <c r="I7" s="8"/>
    </row>
    <row r="8" customFormat="false" ht="12.8" hidden="false" customHeight="true" outlineLevel="0" collapsed="false">
      <c r="A8" s="24" t="s">
        <v>161</v>
      </c>
      <c r="B8" s="24" t="s">
        <v>162</v>
      </c>
      <c r="C8" s="24" t="s">
        <v>163</v>
      </c>
      <c r="D8" s="8"/>
      <c r="E8" s="8"/>
      <c r="F8" s="8"/>
      <c r="G8" s="8"/>
      <c r="H8" s="8"/>
      <c r="I8" s="8"/>
    </row>
    <row r="9" customFormat="false" ht="12.8" hidden="false" customHeight="true" outlineLevel="0" collapsed="false">
      <c r="A9" s="24" t="s">
        <v>164</v>
      </c>
      <c r="B9" s="24" t="s">
        <v>165</v>
      </c>
      <c r="C9" s="24" t="s">
        <v>166</v>
      </c>
      <c r="D9" s="8"/>
      <c r="E9" s="8"/>
      <c r="F9" s="8"/>
      <c r="G9" s="8"/>
      <c r="H9" s="8"/>
      <c r="I9" s="8"/>
    </row>
    <row r="10" customFormat="false" ht="12.8" hidden="false" customHeight="true" outlineLevel="0" collapsed="false">
      <c r="A10" s="24" t="s">
        <v>167</v>
      </c>
      <c r="B10" s="24" t="s">
        <v>168</v>
      </c>
      <c r="C10" s="24" t="s">
        <v>169</v>
      </c>
      <c r="D10" s="8"/>
      <c r="E10" s="8"/>
      <c r="F10" s="8"/>
      <c r="G10" s="8"/>
      <c r="H10" s="8"/>
      <c r="I10" s="8"/>
    </row>
    <row r="11" customFormat="false" ht="12.8" hidden="false" customHeight="true" outlineLevel="0" collapsed="false">
      <c r="A11" s="24" t="s">
        <v>170</v>
      </c>
      <c r="B11" s="24" t="s">
        <v>171</v>
      </c>
      <c r="C11" s="24" t="s">
        <v>172</v>
      </c>
      <c r="D11" s="8"/>
      <c r="E11" s="8"/>
      <c r="F11" s="8"/>
      <c r="G11" s="8"/>
      <c r="H11" s="8"/>
      <c r="I11" s="8"/>
    </row>
    <row r="12" customFormat="false" ht="12.8" hidden="false" customHeight="true" outlineLevel="0" collapsed="false">
      <c r="A12" s="24" t="s">
        <v>173</v>
      </c>
      <c r="B12" s="24" t="s">
        <v>174</v>
      </c>
      <c r="C12" s="24" t="s">
        <v>175</v>
      </c>
      <c r="D12" s="8"/>
      <c r="E12" s="8"/>
      <c r="F12" s="8"/>
      <c r="G12" s="8"/>
      <c r="H12" s="8"/>
      <c r="I12" s="8"/>
    </row>
    <row r="13" customFormat="false" ht="12.8" hidden="false" customHeight="true" outlineLevel="0" collapsed="false">
      <c r="A13" s="24" t="s">
        <v>176</v>
      </c>
      <c r="B13" s="24" t="s">
        <v>177</v>
      </c>
      <c r="C13" s="24" t="s">
        <v>178</v>
      </c>
      <c r="D13" s="8"/>
      <c r="E13" s="8"/>
      <c r="F13" s="8"/>
      <c r="G13" s="8"/>
      <c r="H13" s="8"/>
      <c r="I13" s="8"/>
    </row>
    <row r="14" customFormat="false" ht="12.8" hidden="false" customHeight="true" outlineLevel="0" collapsed="false">
      <c r="A14" s="24" t="s">
        <v>179</v>
      </c>
      <c r="B14" s="24" t="s">
        <v>180</v>
      </c>
      <c r="C14" s="24" t="s">
        <v>181</v>
      </c>
      <c r="D14" s="8"/>
      <c r="E14" s="8"/>
      <c r="F14" s="8"/>
      <c r="G14" s="8"/>
      <c r="H14" s="8"/>
      <c r="I14" s="8"/>
    </row>
    <row r="15" customFormat="false" ht="12.8" hidden="false" customHeight="true" outlineLevel="0" collapsed="false">
      <c r="A15" s="24" t="s">
        <v>182</v>
      </c>
      <c r="B15" s="24" t="s">
        <v>183</v>
      </c>
      <c r="C15" s="24" t="s">
        <v>184</v>
      </c>
      <c r="D15" s="8"/>
      <c r="E15" s="8"/>
      <c r="F15" s="8"/>
      <c r="G15" s="8"/>
      <c r="H15" s="8"/>
      <c r="I15" s="8"/>
    </row>
    <row r="16" customFormat="false" ht="12.8" hidden="false" customHeight="true" outlineLevel="0" collapsed="false">
      <c r="A16" s="24" t="s">
        <v>185</v>
      </c>
      <c r="B16" s="24" t="s">
        <v>186</v>
      </c>
      <c r="C16" s="24" t="s">
        <v>187</v>
      </c>
      <c r="D16" s="8"/>
      <c r="E16" s="8"/>
      <c r="F16" s="8"/>
      <c r="G16" s="8"/>
      <c r="H16" s="8"/>
      <c r="I16" s="8"/>
    </row>
    <row r="17" customFormat="false" ht="12.8" hidden="false" customHeight="true" outlineLevel="0" collapsed="false">
      <c r="A17" s="24" t="s">
        <v>188</v>
      </c>
      <c r="B17" s="24" t="s">
        <v>189</v>
      </c>
      <c r="C17" s="24" t="s">
        <v>190</v>
      </c>
      <c r="D17" s="8"/>
      <c r="E17" s="8"/>
      <c r="F17" s="8"/>
      <c r="G17" s="8"/>
      <c r="H17" s="8"/>
      <c r="I17" s="8"/>
    </row>
    <row r="18" customFormat="false" ht="12.8" hidden="false" customHeight="true" outlineLevel="0" collapsed="false">
      <c r="A18" s="24" t="s">
        <v>191</v>
      </c>
      <c r="B18" s="24" t="s">
        <v>192</v>
      </c>
      <c r="C18" s="24" t="s">
        <v>193</v>
      </c>
      <c r="D18" s="8"/>
      <c r="E18" s="8"/>
      <c r="F18" s="8"/>
      <c r="G18" s="8"/>
      <c r="H18" s="8"/>
      <c r="I18" s="8"/>
    </row>
    <row r="19" customFormat="false" ht="12.8" hidden="false" customHeight="true" outlineLevel="0" collapsed="false">
      <c r="A19" s="24" t="s">
        <v>194</v>
      </c>
      <c r="B19" s="24" t="s">
        <v>195</v>
      </c>
      <c r="C19" s="24" t="s">
        <v>196</v>
      </c>
      <c r="D19" s="8"/>
      <c r="E19" s="8"/>
      <c r="F19" s="8"/>
      <c r="G19" s="8"/>
      <c r="H19" s="8"/>
      <c r="I19" s="8"/>
    </row>
    <row r="20" customFormat="false" ht="12.8" hidden="false" customHeight="true" outlineLevel="0" collapsed="false">
      <c r="A20" s="24" t="s">
        <v>197</v>
      </c>
      <c r="B20" s="24" t="s">
        <v>198</v>
      </c>
      <c r="C20" s="24" t="s">
        <v>199</v>
      </c>
      <c r="D20" s="8"/>
      <c r="E20" s="8"/>
      <c r="F20" s="8"/>
      <c r="G20" s="8"/>
      <c r="H20" s="8"/>
      <c r="I20" s="8"/>
    </row>
    <row r="21" customFormat="false" ht="12.8" hidden="false" customHeight="true" outlineLevel="0" collapsed="false">
      <c r="A21" s="24" t="s">
        <v>200</v>
      </c>
      <c r="B21" s="24" t="s">
        <v>201</v>
      </c>
      <c r="C21" s="24" t="s">
        <v>202</v>
      </c>
      <c r="D21" s="8"/>
      <c r="E21" s="8"/>
      <c r="F21" s="8"/>
      <c r="G21" s="8"/>
      <c r="H21" s="8"/>
      <c r="I21" s="8"/>
    </row>
    <row r="22" customFormat="false" ht="12.8" hidden="false" customHeight="true" outlineLevel="0" collapsed="false">
      <c r="A22" s="24" t="s">
        <v>203</v>
      </c>
      <c r="B22" s="24" t="s">
        <v>204</v>
      </c>
      <c r="C22" s="24" t="s">
        <v>205</v>
      </c>
      <c r="D22" s="8"/>
      <c r="E22" s="8"/>
      <c r="F22" s="8"/>
      <c r="G22" s="8"/>
      <c r="H22" s="8"/>
      <c r="I22" s="8"/>
    </row>
    <row r="23" customFormat="false" ht="12.8" hidden="false" customHeight="true" outlineLevel="0" collapsed="false">
      <c r="A23" s="24" t="s">
        <v>206</v>
      </c>
      <c r="B23" s="24" t="s">
        <v>207</v>
      </c>
      <c r="C23" s="24" t="s">
        <v>208</v>
      </c>
      <c r="D23" s="8"/>
      <c r="E23" s="8"/>
      <c r="F23" s="8"/>
      <c r="G23" s="8"/>
      <c r="H23" s="8"/>
      <c r="I23" s="8"/>
    </row>
    <row r="24" customFormat="false" ht="12.8" hidden="false" customHeight="true" outlineLevel="0" collapsed="false">
      <c r="D24" s="8"/>
      <c r="E24" s="8"/>
      <c r="F24" s="8"/>
      <c r="G24" s="8"/>
      <c r="H24" s="8"/>
      <c r="I24" s="8"/>
    </row>
    <row r="25" customFormat="false" ht="12.8" hidden="false" customHeight="true" outlineLevel="0" collapsed="false">
      <c r="D25" s="8"/>
      <c r="E25" s="8"/>
      <c r="F25" s="8"/>
      <c r="G25" s="8"/>
      <c r="H25" s="8"/>
      <c r="I25" s="8"/>
    </row>
    <row r="26" customFormat="false" ht="12.8" hidden="false" customHeight="true" outlineLevel="0" collapsed="false">
      <c r="D26" s="8"/>
      <c r="E26" s="8"/>
      <c r="F26" s="8"/>
      <c r="G26" s="8"/>
      <c r="H26" s="8"/>
      <c r="I26" s="8"/>
    </row>
    <row r="27" customFormat="false" ht="12.8" hidden="false" customHeight="true" outlineLevel="0" collapsed="false">
      <c r="D27" s="8"/>
      <c r="E27" s="8"/>
      <c r="F27" s="8"/>
      <c r="G27" s="8"/>
      <c r="H27" s="8"/>
      <c r="I27" s="8"/>
    </row>
    <row r="28" customFormat="false" ht="12.8" hidden="false" customHeight="true" outlineLevel="0" collapsed="false">
      <c r="D28" s="8"/>
      <c r="E28" s="8"/>
      <c r="F28" s="8"/>
      <c r="G28" s="8"/>
      <c r="H28" s="8"/>
      <c r="I28" s="8"/>
    </row>
    <row r="29" customFormat="false" ht="26.1" hidden="false" customHeight="true" outlineLevel="0" collapsed="false">
      <c r="A29" s="9" t="s">
        <v>1</v>
      </c>
      <c r="B29" s="9" t="s">
        <v>2</v>
      </c>
      <c r="C29" s="37" t="s">
        <v>4</v>
      </c>
      <c r="D29" s="37" t="s">
        <v>209</v>
      </c>
      <c r="E29" s="37" t="s">
        <v>210</v>
      </c>
      <c r="F29" s="37" t="s">
        <v>211</v>
      </c>
      <c r="G29" s="37" t="s">
        <v>212</v>
      </c>
      <c r="H29" s="37" t="s">
        <v>213</v>
      </c>
      <c r="I29" s="37" t="s">
        <v>214</v>
      </c>
    </row>
    <row r="30" customFormat="false" ht="15" hidden="false" customHeight="false" outlineLevel="0" collapsed="false">
      <c r="A30" s="38" t="n">
        <f aca="false">ROW()-1</f>
        <v>29</v>
      </c>
      <c r="B30" s="39" t="s">
        <v>215</v>
      </c>
      <c r="C30" s="25" t="n">
        <v>45729</v>
      </c>
      <c r="D30" s="17" t="n">
        <f aca="false">C30+1</f>
        <v>45730</v>
      </c>
      <c r="E30" s="17" t="n">
        <f aca="false">D30+2</f>
        <v>45732</v>
      </c>
      <c r="F30" s="17" t="n">
        <f aca="false">E30+3</f>
        <v>45735</v>
      </c>
      <c r="G30" s="17" t="n">
        <f aca="false">F30+7</f>
        <v>45742</v>
      </c>
      <c r="H30" s="17" t="n">
        <f aca="false">G30+14</f>
        <v>45756</v>
      </c>
      <c r="I30" s="26" t="n">
        <f aca="false">H30+20</f>
        <v>45776</v>
      </c>
    </row>
    <row r="31" customFormat="false" ht="15" hidden="false" customHeight="false" outlineLevel="0" collapsed="false">
      <c r="A31" s="38" t="n">
        <f aca="false">ROW()-1</f>
        <v>30</v>
      </c>
      <c r="B31" s="39" t="s">
        <v>216</v>
      </c>
      <c r="C31" s="25" t="n">
        <v>45729</v>
      </c>
      <c r="D31" s="17" t="n">
        <f aca="false">C31+1</f>
        <v>45730</v>
      </c>
      <c r="E31" s="17" t="n">
        <f aca="false">D31+2</f>
        <v>45732</v>
      </c>
      <c r="F31" s="17" t="n">
        <f aca="false">E31+3</f>
        <v>45735</v>
      </c>
      <c r="G31" s="17" t="n">
        <f aca="false">F31+7</f>
        <v>45742</v>
      </c>
      <c r="H31" s="17" t="n">
        <f aca="false">G31+14</f>
        <v>45756</v>
      </c>
      <c r="I31" s="26" t="n">
        <f aca="false">H31+20</f>
        <v>45776</v>
      </c>
    </row>
    <row r="32" customFormat="false" ht="15" hidden="false" customHeight="false" outlineLevel="0" collapsed="false">
      <c r="A32" s="38" t="n">
        <f aca="false">ROW()-1</f>
        <v>31</v>
      </c>
      <c r="B32" s="39" t="s">
        <v>217</v>
      </c>
      <c r="C32" s="25" t="n">
        <v>45729</v>
      </c>
      <c r="D32" s="17" t="n">
        <f aca="false">C32+1</f>
        <v>45730</v>
      </c>
      <c r="E32" s="17" t="n">
        <f aca="false">D32+2</f>
        <v>45732</v>
      </c>
      <c r="F32" s="17" t="n">
        <f aca="false">E32+3</f>
        <v>45735</v>
      </c>
      <c r="G32" s="17" t="n">
        <f aca="false">F32+7</f>
        <v>45742</v>
      </c>
      <c r="H32" s="17" t="n">
        <f aca="false">G32+14</f>
        <v>45756</v>
      </c>
      <c r="I32" s="26" t="n">
        <f aca="false">H32+20</f>
        <v>45776</v>
      </c>
    </row>
    <row r="33" customFormat="false" ht="15" hidden="false" customHeight="false" outlineLevel="0" collapsed="false">
      <c r="A33" s="38" t="n">
        <f aca="false">ROW()-1</f>
        <v>32</v>
      </c>
      <c r="B33" s="39" t="s">
        <v>218</v>
      </c>
      <c r="C33" s="25" t="n">
        <v>45729</v>
      </c>
      <c r="D33" s="17" t="n">
        <f aca="false">C33+1</f>
        <v>45730</v>
      </c>
      <c r="E33" s="17" t="n">
        <f aca="false">D33+2</f>
        <v>45732</v>
      </c>
      <c r="F33" s="17" t="n">
        <f aca="false">E33+3</f>
        <v>45735</v>
      </c>
      <c r="G33" s="17" t="n">
        <f aca="false">F33+7</f>
        <v>45742</v>
      </c>
      <c r="H33" s="17" t="n">
        <f aca="false">G33+14</f>
        <v>45756</v>
      </c>
      <c r="I33" s="26" t="n">
        <f aca="false">H33+20</f>
        <v>45776</v>
      </c>
    </row>
    <row r="34" customFormat="false" ht="15" hidden="false" customHeight="false" outlineLevel="0" collapsed="false">
      <c r="A34" s="38" t="n">
        <f aca="false">ROW()-1</f>
        <v>33</v>
      </c>
      <c r="B34" s="39" t="s">
        <v>219</v>
      </c>
      <c r="C34" s="25" t="n">
        <v>45729</v>
      </c>
      <c r="D34" s="17" t="n">
        <f aca="false">C34+1</f>
        <v>45730</v>
      </c>
      <c r="E34" s="17" t="n">
        <f aca="false">D34+2</f>
        <v>45732</v>
      </c>
      <c r="F34" s="17" t="n">
        <f aca="false">E34+3</f>
        <v>45735</v>
      </c>
      <c r="G34" s="17" t="n">
        <f aca="false">F34+7</f>
        <v>45742</v>
      </c>
      <c r="H34" s="17" t="n">
        <f aca="false">G34+14</f>
        <v>45756</v>
      </c>
      <c r="I34" s="26" t="n">
        <f aca="false">H34+20</f>
        <v>45776</v>
      </c>
    </row>
    <row r="35" customFormat="false" ht="15" hidden="false" customHeight="false" outlineLevel="0" collapsed="false">
      <c r="A35" s="38" t="n">
        <f aca="false">ROW()-1</f>
        <v>34</v>
      </c>
      <c r="B35" s="39" t="s">
        <v>220</v>
      </c>
      <c r="C35" s="25" t="n">
        <v>45729</v>
      </c>
      <c r="D35" s="17" t="n">
        <f aca="false">C35+1</f>
        <v>45730</v>
      </c>
      <c r="E35" s="17" t="n">
        <f aca="false">D35+2</f>
        <v>45732</v>
      </c>
      <c r="F35" s="17" t="n">
        <f aca="false">E35+3</f>
        <v>45735</v>
      </c>
      <c r="G35" s="17" t="n">
        <f aca="false">F35+7</f>
        <v>45742</v>
      </c>
      <c r="H35" s="17" t="n">
        <f aca="false">G35+14</f>
        <v>45756</v>
      </c>
      <c r="I35" s="26" t="n">
        <f aca="false">H35+20</f>
        <v>45776</v>
      </c>
    </row>
    <row r="36" customFormat="false" ht="15" hidden="false" customHeight="false" outlineLevel="0" collapsed="false">
      <c r="A36" s="38" t="n">
        <f aca="false">ROW()-1</f>
        <v>35</v>
      </c>
      <c r="B36" s="40" t="s">
        <v>221</v>
      </c>
      <c r="C36" s="25" t="n">
        <v>45729</v>
      </c>
      <c r="D36" s="17" t="n">
        <f aca="false">C36+1</f>
        <v>45730</v>
      </c>
      <c r="E36" s="17" t="n">
        <f aca="false">D36+2</f>
        <v>45732</v>
      </c>
      <c r="F36" s="17" t="n">
        <f aca="false">E36+3</f>
        <v>45735</v>
      </c>
      <c r="G36" s="17" t="n">
        <f aca="false">F36+7</f>
        <v>45742</v>
      </c>
      <c r="H36" s="17" t="n">
        <f aca="false">G36+14</f>
        <v>45756</v>
      </c>
      <c r="I36" s="26" t="n">
        <f aca="false">H36+20</f>
        <v>45776</v>
      </c>
    </row>
    <row r="37" customFormat="false" ht="15" hidden="false" customHeight="false" outlineLevel="0" collapsed="false">
      <c r="A37" s="38" t="n">
        <f aca="false">ROW()-1</f>
        <v>36</v>
      </c>
      <c r="B37" s="40" t="s">
        <v>222</v>
      </c>
      <c r="C37" s="25" t="n">
        <v>45729</v>
      </c>
      <c r="D37" s="17" t="n">
        <f aca="false">C37+1</f>
        <v>45730</v>
      </c>
      <c r="E37" s="17" t="n">
        <f aca="false">D37+2</f>
        <v>45732</v>
      </c>
      <c r="F37" s="17" t="n">
        <f aca="false">E37+3</f>
        <v>45735</v>
      </c>
      <c r="G37" s="17" t="n">
        <f aca="false">F37+7</f>
        <v>45742</v>
      </c>
      <c r="H37" s="17" t="n">
        <f aca="false">G37+14</f>
        <v>45756</v>
      </c>
      <c r="I37" s="26" t="n">
        <f aca="false">H37+20</f>
        <v>45776</v>
      </c>
    </row>
    <row r="38" customFormat="false" ht="15" hidden="false" customHeight="false" outlineLevel="0" collapsed="false">
      <c r="A38" s="38" t="n">
        <f aca="false">ROW()-1</f>
        <v>37</v>
      </c>
      <c r="B38" s="40" t="s">
        <v>223</v>
      </c>
      <c r="C38" s="25" t="n">
        <v>45729</v>
      </c>
      <c r="D38" s="17" t="n">
        <f aca="false">C38+1</f>
        <v>45730</v>
      </c>
      <c r="E38" s="17" t="n">
        <f aca="false">D38+2</f>
        <v>45732</v>
      </c>
      <c r="F38" s="17" t="n">
        <f aca="false">E38+3</f>
        <v>45735</v>
      </c>
      <c r="G38" s="17" t="n">
        <f aca="false">F38+7</f>
        <v>45742</v>
      </c>
      <c r="H38" s="17" t="n">
        <f aca="false">G38+14</f>
        <v>45756</v>
      </c>
      <c r="I38" s="26" t="n">
        <f aca="false">H38+20</f>
        <v>45776</v>
      </c>
    </row>
    <row r="39" customFormat="false" ht="15" hidden="false" customHeight="false" outlineLevel="0" collapsed="false">
      <c r="A39" s="38" t="n">
        <f aca="false">ROW()-1</f>
        <v>38</v>
      </c>
      <c r="B39" s="40" t="s">
        <v>224</v>
      </c>
      <c r="C39" s="25" t="n">
        <v>45729</v>
      </c>
      <c r="D39" s="17" t="n">
        <f aca="false">C39+1</f>
        <v>45730</v>
      </c>
      <c r="E39" s="17" t="n">
        <f aca="false">D39+2</f>
        <v>45732</v>
      </c>
      <c r="F39" s="17" t="n">
        <f aca="false">E39+3</f>
        <v>45735</v>
      </c>
      <c r="G39" s="17" t="n">
        <f aca="false">F39+7</f>
        <v>45742</v>
      </c>
      <c r="H39" s="17" t="n">
        <f aca="false">G39+14</f>
        <v>45756</v>
      </c>
      <c r="I39" s="26" t="n">
        <f aca="false">H39+20</f>
        <v>45776</v>
      </c>
    </row>
    <row r="40" customFormat="false" ht="15" hidden="false" customHeight="false" outlineLevel="0" collapsed="false">
      <c r="A40" s="38" t="n">
        <f aca="false">ROW()-1</f>
        <v>39</v>
      </c>
      <c r="B40" s="40" t="s">
        <v>225</v>
      </c>
      <c r="C40" s="25" t="n">
        <v>45729</v>
      </c>
      <c r="D40" s="17" t="n">
        <f aca="false">C40+1</f>
        <v>45730</v>
      </c>
      <c r="E40" s="17" t="n">
        <f aca="false">D40+2</f>
        <v>45732</v>
      </c>
      <c r="F40" s="17" t="n">
        <f aca="false">E40+3</f>
        <v>45735</v>
      </c>
      <c r="G40" s="17" t="n">
        <f aca="false">F40+7</f>
        <v>45742</v>
      </c>
      <c r="H40" s="17" t="n">
        <f aca="false">G40+14</f>
        <v>45756</v>
      </c>
      <c r="I40" s="26" t="n">
        <f aca="false">H40+20</f>
        <v>45776</v>
      </c>
    </row>
    <row r="41" customFormat="false" ht="15" hidden="false" customHeight="false" outlineLevel="0" collapsed="false">
      <c r="A41" s="38" t="n">
        <f aca="false">ROW()-1</f>
        <v>40</v>
      </c>
      <c r="B41" s="40" t="s">
        <v>226</v>
      </c>
      <c r="C41" s="25" t="n">
        <v>45729</v>
      </c>
      <c r="D41" s="17" t="n">
        <f aca="false">C41+1</f>
        <v>45730</v>
      </c>
      <c r="E41" s="17" t="n">
        <f aca="false">D41+2</f>
        <v>45732</v>
      </c>
      <c r="F41" s="17" t="n">
        <f aca="false">E41+3</f>
        <v>45735</v>
      </c>
      <c r="G41" s="17" t="n">
        <f aca="false">F41+7</f>
        <v>45742</v>
      </c>
      <c r="H41" s="17" t="n">
        <f aca="false">G41+14</f>
        <v>45756</v>
      </c>
      <c r="I41" s="26" t="n">
        <f aca="false">H41+20</f>
        <v>45776</v>
      </c>
    </row>
    <row r="42" customFormat="false" ht="15" hidden="false" customHeight="false" outlineLevel="0" collapsed="false">
      <c r="A42" s="38" t="n">
        <f aca="false">ROW()-1</f>
        <v>41</v>
      </c>
      <c r="B42" s="40" t="s">
        <v>227</v>
      </c>
      <c r="C42" s="25" t="n">
        <v>45729</v>
      </c>
      <c r="D42" s="17" t="n">
        <f aca="false">C42+1</f>
        <v>45730</v>
      </c>
      <c r="E42" s="17" t="n">
        <f aca="false">D42+2</f>
        <v>45732</v>
      </c>
      <c r="F42" s="17" t="n">
        <f aca="false">E42+3</f>
        <v>45735</v>
      </c>
      <c r="G42" s="17" t="n">
        <f aca="false">F42+7</f>
        <v>45742</v>
      </c>
      <c r="H42" s="17" t="n">
        <f aca="false">G42+14</f>
        <v>45756</v>
      </c>
      <c r="I42" s="26" t="n">
        <f aca="false">H42+20</f>
        <v>45776</v>
      </c>
    </row>
    <row r="43" customFormat="false" ht="15" hidden="false" customHeight="false" outlineLevel="0" collapsed="false">
      <c r="A43" s="38" t="n">
        <f aca="false">ROW()-1</f>
        <v>42</v>
      </c>
      <c r="B43" s="41" t="s">
        <v>228</v>
      </c>
      <c r="C43" s="25" t="n">
        <v>45729</v>
      </c>
      <c r="D43" s="17" t="n">
        <f aca="false">C43+1</f>
        <v>45730</v>
      </c>
      <c r="E43" s="17" t="n">
        <f aca="false">D43+2</f>
        <v>45732</v>
      </c>
      <c r="F43" s="17" t="n">
        <f aca="false">E43+3</f>
        <v>45735</v>
      </c>
      <c r="G43" s="17" t="n">
        <f aca="false">F43+7</f>
        <v>45742</v>
      </c>
      <c r="H43" s="17" t="n">
        <f aca="false">G43+14</f>
        <v>45756</v>
      </c>
      <c r="I43" s="26" t="n">
        <f aca="false">H43+20</f>
        <v>45776</v>
      </c>
    </row>
    <row r="44" customFormat="false" ht="15" hidden="false" customHeight="false" outlineLevel="0" collapsed="false">
      <c r="A44" s="38" t="n">
        <f aca="false">ROW()-1</f>
        <v>43</v>
      </c>
      <c r="B44" s="41" t="s">
        <v>229</v>
      </c>
      <c r="C44" s="25" t="n">
        <v>45729</v>
      </c>
      <c r="D44" s="17" t="n">
        <f aca="false">C44+1</f>
        <v>45730</v>
      </c>
      <c r="E44" s="17" t="n">
        <f aca="false">D44+2</f>
        <v>45732</v>
      </c>
      <c r="F44" s="17" t="n">
        <f aca="false">E44+3</f>
        <v>45735</v>
      </c>
      <c r="G44" s="17" t="n">
        <f aca="false">F44+7</f>
        <v>45742</v>
      </c>
      <c r="H44" s="17" t="n">
        <f aca="false">G44+14</f>
        <v>45756</v>
      </c>
      <c r="I44" s="26" t="n">
        <f aca="false">H44+20</f>
        <v>45776</v>
      </c>
    </row>
    <row r="45" customFormat="false" ht="15" hidden="false" customHeight="false" outlineLevel="0" collapsed="false">
      <c r="A45" s="38" t="n">
        <f aca="false">ROW()-1</f>
        <v>44</v>
      </c>
      <c r="B45" s="41" t="s">
        <v>230</v>
      </c>
      <c r="C45" s="25" t="n">
        <v>45729</v>
      </c>
      <c r="D45" s="17" t="n">
        <f aca="false">C45+1</f>
        <v>45730</v>
      </c>
      <c r="E45" s="17" t="n">
        <f aca="false">D45+2</f>
        <v>45732</v>
      </c>
      <c r="F45" s="17" t="n">
        <f aca="false">E45+3</f>
        <v>45735</v>
      </c>
      <c r="G45" s="17" t="n">
        <f aca="false">F45+7</f>
        <v>45742</v>
      </c>
      <c r="H45" s="17" t="n">
        <f aca="false">G45+14</f>
        <v>45756</v>
      </c>
      <c r="I45" s="26" t="n">
        <f aca="false">H45+20</f>
        <v>45776</v>
      </c>
    </row>
    <row r="46" customFormat="false" ht="15" hidden="false" customHeight="false" outlineLevel="0" collapsed="false">
      <c r="A46" s="38" t="n">
        <f aca="false">ROW()-1</f>
        <v>45</v>
      </c>
      <c r="B46" s="41" t="s">
        <v>231</v>
      </c>
      <c r="C46" s="25" t="n">
        <v>45729</v>
      </c>
      <c r="D46" s="17" t="n">
        <f aca="false">C46+1</f>
        <v>45730</v>
      </c>
      <c r="E46" s="17" t="n">
        <f aca="false">D46+2</f>
        <v>45732</v>
      </c>
      <c r="F46" s="17" t="n">
        <f aca="false">E46+3</f>
        <v>45735</v>
      </c>
      <c r="G46" s="17" t="n">
        <f aca="false">F46+7</f>
        <v>45742</v>
      </c>
      <c r="H46" s="17" t="n">
        <f aca="false">G46+14</f>
        <v>45756</v>
      </c>
      <c r="I46" s="26" t="n">
        <f aca="false">H46+20</f>
        <v>45776</v>
      </c>
    </row>
    <row r="47" customFormat="false" ht="15" hidden="false" customHeight="false" outlineLevel="0" collapsed="false">
      <c r="A47" s="38" t="n">
        <f aca="false">ROW()-1</f>
        <v>46</v>
      </c>
      <c r="B47" s="41" t="s">
        <v>232</v>
      </c>
      <c r="C47" s="25" t="n">
        <v>45729</v>
      </c>
      <c r="D47" s="17" t="n">
        <f aca="false">C47+1</f>
        <v>45730</v>
      </c>
      <c r="E47" s="17" t="n">
        <f aca="false">D47+2</f>
        <v>45732</v>
      </c>
      <c r="F47" s="17" t="n">
        <f aca="false">E47+3</f>
        <v>45735</v>
      </c>
      <c r="G47" s="17" t="n">
        <f aca="false">F47+7</f>
        <v>45742</v>
      </c>
      <c r="H47" s="17" t="n">
        <f aca="false">G47+14</f>
        <v>45756</v>
      </c>
      <c r="I47" s="26" t="n">
        <f aca="false">H47+20</f>
        <v>45776</v>
      </c>
    </row>
    <row r="48" customFormat="false" ht="15" hidden="false" customHeight="false" outlineLevel="0" collapsed="false">
      <c r="A48" s="38" t="n">
        <f aca="false">ROW()-1</f>
        <v>47</v>
      </c>
      <c r="B48" s="41" t="s">
        <v>233</v>
      </c>
      <c r="C48" s="25" t="n">
        <v>45729</v>
      </c>
      <c r="D48" s="17" t="n">
        <f aca="false">C48+1</f>
        <v>45730</v>
      </c>
      <c r="E48" s="17" t="n">
        <f aca="false">D48+2</f>
        <v>45732</v>
      </c>
      <c r="F48" s="17" t="n">
        <f aca="false">E48+3</f>
        <v>45735</v>
      </c>
      <c r="G48" s="17" t="n">
        <f aca="false">F48+7</f>
        <v>45742</v>
      </c>
      <c r="H48" s="17" t="n">
        <f aca="false">G48+14</f>
        <v>45756</v>
      </c>
      <c r="I48" s="26" t="n">
        <f aca="false">H48+20</f>
        <v>45776</v>
      </c>
    </row>
    <row r="49" customFormat="false" ht="15" hidden="false" customHeight="false" outlineLevel="0" collapsed="false">
      <c r="A49" s="38" t="n">
        <f aca="false">ROW()-1</f>
        <v>48</v>
      </c>
      <c r="B49" s="41" t="s">
        <v>234</v>
      </c>
      <c r="C49" s="25" t="n">
        <v>45729</v>
      </c>
      <c r="D49" s="17" t="n">
        <f aca="false">C49+1</f>
        <v>45730</v>
      </c>
      <c r="E49" s="17" t="n">
        <f aca="false">D49+2</f>
        <v>45732</v>
      </c>
      <c r="F49" s="17" t="n">
        <f aca="false">E49+3</f>
        <v>45735</v>
      </c>
      <c r="G49" s="17" t="n">
        <f aca="false">F49+7</f>
        <v>45742</v>
      </c>
      <c r="H49" s="17" t="n">
        <f aca="false">G49+14</f>
        <v>45756</v>
      </c>
      <c r="I49" s="26" t="n">
        <f aca="false">H49+20</f>
        <v>45776</v>
      </c>
    </row>
    <row r="50" customFormat="false" ht="15" hidden="false" customHeight="false" outlineLevel="0" collapsed="false">
      <c r="A50" s="38" t="n">
        <f aca="false">ROW()-1</f>
        <v>49</v>
      </c>
      <c r="B50" s="41" t="s">
        <v>235</v>
      </c>
      <c r="C50" s="25" t="n">
        <v>45729</v>
      </c>
      <c r="D50" s="17" t="n">
        <f aca="false">C50+1</f>
        <v>45730</v>
      </c>
      <c r="E50" s="17" t="n">
        <f aca="false">D50+2</f>
        <v>45732</v>
      </c>
      <c r="F50" s="17" t="n">
        <f aca="false">E50+3</f>
        <v>45735</v>
      </c>
      <c r="G50" s="17" t="n">
        <f aca="false">F50+7</f>
        <v>45742</v>
      </c>
      <c r="H50" s="17" t="n">
        <f aca="false">G50+14</f>
        <v>45756</v>
      </c>
      <c r="I50" s="26" t="n">
        <f aca="false">H50+20</f>
        <v>45776</v>
      </c>
    </row>
    <row r="51" customFormat="false" ht="15" hidden="false" customHeight="false" outlineLevel="0" collapsed="false">
      <c r="A51" s="38" t="n">
        <f aca="false">ROW()-1</f>
        <v>50</v>
      </c>
      <c r="B51" s="41" t="s">
        <v>236</v>
      </c>
      <c r="C51" s="25" t="n">
        <v>45729</v>
      </c>
      <c r="D51" s="17" t="n">
        <f aca="false">C51+1</f>
        <v>45730</v>
      </c>
      <c r="E51" s="17" t="n">
        <f aca="false">D51+2</f>
        <v>45732</v>
      </c>
      <c r="F51" s="17" t="n">
        <f aca="false">E51+3</f>
        <v>45735</v>
      </c>
      <c r="G51" s="17" t="n">
        <f aca="false">F51+7</f>
        <v>45742</v>
      </c>
      <c r="H51" s="17" t="n">
        <f aca="false">G51+14</f>
        <v>45756</v>
      </c>
      <c r="I51" s="26" t="n">
        <f aca="false">H51+20</f>
        <v>45776</v>
      </c>
    </row>
    <row r="52" customFormat="false" ht="15" hidden="false" customHeight="false" outlineLevel="0" collapsed="false">
      <c r="A52" s="38" t="n">
        <f aca="false">ROW()-1</f>
        <v>51</v>
      </c>
      <c r="B52" s="41" t="s">
        <v>237</v>
      </c>
      <c r="C52" s="25" t="n">
        <v>45729</v>
      </c>
      <c r="D52" s="17" t="n">
        <f aca="false">C52+1</f>
        <v>45730</v>
      </c>
      <c r="E52" s="17" t="n">
        <f aca="false">D52+2</f>
        <v>45732</v>
      </c>
      <c r="F52" s="17" t="n">
        <f aca="false">E52+3</f>
        <v>45735</v>
      </c>
      <c r="G52" s="17" t="n">
        <f aca="false">F52+7</f>
        <v>45742</v>
      </c>
      <c r="H52" s="17" t="n">
        <f aca="false">G52+14</f>
        <v>45756</v>
      </c>
      <c r="I52" s="26" t="n">
        <f aca="false">H52+20</f>
        <v>45776</v>
      </c>
    </row>
    <row r="53" customFormat="false" ht="15" hidden="false" customHeight="false" outlineLevel="0" collapsed="false">
      <c r="A53" s="38" t="n">
        <f aca="false">ROW()-1</f>
        <v>52</v>
      </c>
      <c r="B53" s="41" t="s">
        <v>238</v>
      </c>
      <c r="C53" s="25" t="n">
        <v>45729</v>
      </c>
      <c r="D53" s="17" t="n">
        <f aca="false">C53+1</f>
        <v>45730</v>
      </c>
      <c r="E53" s="17" t="n">
        <f aca="false">D53+2</f>
        <v>45732</v>
      </c>
      <c r="F53" s="17" t="n">
        <f aca="false">E53+3</f>
        <v>45735</v>
      </c>
      <c r="G53" s="17" t="n">
        <f aca="false">F53+7</f>
        <v>45742</v>
      </c>
      <c r="H53" s="17" t="n">
        <f aca="false">G53+14</f>
        <v>45756</v>
      </c>
      <c r="I53" s="26" t="n">
        <f aca="false">H53+20</f>
        <v>45776</v>
      </c>
    </row>
    <row r="54" customFormat="false" ht="12.8" hidden="false" customHeight="false" outlineLevel="0" collapsed="false">
      <c r="A54" s="42"/>
      <c r="B54" s="43"/>
      <c r="C54" s="43"/>
      <c r="D54" s="17"/>
      <c r="E54" s="17"/>
      <c r="F54" s="17"/>
      <c r="G54" s="17"/>
      <c r="H54" s="17"/>
      <c r="I54" s="26"/>
    </row>
    <row r="55" customFormat="false" ht="12.8" hidden="false" customHeight="false" outlineLevel="0" collapsed="false">
      <c r="A55" s="42"/>
      <c r="B55" s="43"/>
      <c r="C55" s="43"/>
      <c r="D55" s="17"/>
      <c r="E55" s="17"/>
      <c r="F55" s="17"/>
      <c r="G55" s="17"/>
      <c r="H55" s="17"/>
      <c r="I55" s="26"/>
    </row>
    <row r="56" customFormat="false" ht="12.8" hidden="false" customHeight="false" outlineLevel="0" collapsed="false">
      <c r="A56" s="42"/>
      <c r="B56" s="43"/>
      <c r="C56" s="43"/>
      <c r="D56" s="17"/>
      <c r="E56" s="17"/>
      <c r="F56" s="17"/>
      <c r="G56" s="17"/>
      <c r="H56" s="17"/>
      <c r="I56" s="26"/>
    </row>
    <row r="57" customFormat="false" ht="12.8" hidden="false" customHeight="false" outlineLevel="0" collapsed="false">
      <c r="A57" s="42"/>
      <c r="B57" s="43"/>
      <c r="C57" s="43"/>
      <c r="D57" s="17"/>
      <c r="E57" s="17"/>
      <c r="F57" s="17"/>
      <c r="G57" s="17"/>
      <c r="H57" s="17"/>
      <c r="I57" s="26"/>
    </row>
    <row r="58" customFormat="false" ht="12.8" hidden="false" customHeight="false" outlineLevel="0" collapsed="false">
      <c r="A58" s="42"/>
      <c r="B58" s="43"/>
      <c r="C58" s="43"/>
      <c r="D58" s="17"/>
      <c r="E58" s="17"/>
      <c r="F58" s="17"/>
      <c r="G58" s="17"/>
      <c r="H58" s="17"/>
      <c r="I58" s="26"/>
    </row>
    <row r="59" customFormat="false" ht="12.8" hidden="false" customHeight="false" outlineLevel="0" collapsed="false">
      <c r="A59" s="42"/>
      <c r="B59" s="43"/>
      <c r="C59" s="43"/>
      <c r="D59" s="17"/>
      <c r="E59" s="17"/>
      <c r="F59" s="17"/>
      <c r="G59" s="17"/>
      <c r="H59" s="17"/>
      <c r="I59" s="26"/>
    </row>
    <row r="60" customFormat="false" ht="12.8" hidden="false" customHeight="false" outlineLevel="0" collapsed="false">
      <c r="A60" s="42"/>
      <c r="B60" s="43"/>
      <c r="C60" s="43"/>
      <c r="D60" s="17"/>
      <c r="E60" s="17"/>
      <c r="F60" s="17"/>
      <c r="G60" s="17"/>
      <c r="H60" s="17"/>
      <c r="I60" s="26"/>
    </row>
    <row r="61" customFormat="false" ht="12.8" hidden="false" customHeight="false" outlineLevel="0" collapsed="false">
      <c r="A61" s="42"/>
      <c r="B61" s="43"/>
      <c r="C61" s="43"/>
      <c r="D61" s="17"/>
      <c r="E61" s="17"/>
      <c r="F61" s="17"/>
      <c r="G61" s="17"/>
      <c r="H61" s="17"/>
      <c r="I61" s="26"/>
    </row>
    <row r="62" customFormat="false" ht="12.8" hidden="false" customHeight="false" outlineLevel="0" collapsed="false">
      <c r="A62" s="42"/>
      <c r="B62" s="43"/>
      <c r="C62" s="43"/>
      <c r="D62" s="17"/>
      <c r="E62" s="17"/>
      <c r="F62" s="17"/>
      <c r="G62" s="17"/>
      <c r="H62" s="17"/>
      <c r="I62" s="26"/>
    </row>
    <row r="63" customFormat="false" ht="12.8" hidden="false" customHeight="false" outlineLevel="0" collapsed="false">
      <c r="A63" s="42"/>
      <c r="B63" s="43"/>
      <c r="C63" s="43"/>
      <c r="D63" s="17"/>
      <c r="E63" s="17"/>
      <c r="F63" s="17"/>
      <c r="G63" s="17"/>
      <c r="H63" s="17"/>
      <c r="I63" s="26"/>
    </row>
    <row r="64" customFormat="false" ht="12.8" hidden="false" customHeight="false" outlineLevel="0" collapsed="false">
      <c r="A64" s="42"/>
      <c r="B64" s="43"/>
      <c r="C64" s="43"/>
      <c r="D64" s="17"/>
      <c r="E64" s="17"/>
      <c r="F64" s="17"/>
      <c r="G64" s="17"/>
      <c r="H64" s="17"/>
      <c r="I64" s="26"/>
    </row>
    <row r="65" customFormat="false" ht="12.8" hidden="false" customHeight="false" outlineLevel="0" collapsed="false">
      <c r="A65" s="42"/>
      <c r="B65" s="43"/>
      <c r="C65" s="43"/>
      <c r="D65" s="17"/>
      <c r="E65" s="17"/>
      <c r="F65" s="17"/>
      <c r="G65" s="17"/>
      <c r="H65" s="17"/>
      <c r="I65" s="26"/>
    </row>
    <row r="66" customFormat="false" ht="12.8" hidden="false" customHeight="false" outlineLevel="0" collapsed="false">
      <c r="A66" s="42"/>
      <c r="B66" s="43"/>
      <c r="C66" s="43"/>
      <c r="D66" s="17"/>
      <c r="E66" s="17"/>
      <c r="F66" s="17"/>
      <c r="G66" s="17"/>
      <c r="H66" s="17"/>
      <c r="I66" s="26"/>
    </row>
    <row r="67" customFormat="false" ht="12.8" hidden="false" customHeight="false" outlineLevel="0" collapsed="false">
      <c r="A67" s="42"/>
      <c r="B67" s="43"/>
      <c r="C67" s="43"/>
      <c r="D67" s="17"/>
      <c r="E67" s="17"/>
      <c r="F67" s="17"/>
      <c r="G67" s="17"/>
      <c r="H67" s="17"/>
      <c r="I67" s="26"/>
    </row>
    <row r="68" customFormat="false" ht="12.8" hidden="false" customHeight="false" outlineLevel="0" collapsed="false">
      <c r="A68" s="42"/>
      <c r="B68" s="43"/>
      <c r="C68" s="43"/>
      <c r="D68" s="17"/>
      <c r="E68" s="17"/>
      <c r="F68" s="17"/>
      <c r="G68" s="17"/>
      <c r="H68" s="17"/>
      <c r="I68" s="26"/>
    </row>
    <row r="69" customFormat="false" ht="12.8" hidden="false" customHeight="false" outlineLevel="0" collapsed="false">
      <c r="A69" s="42"/>
      <c r="B69" s="43"/>
      <c r="C69" s="43"/>
      <c r="D69" s="17"/>
      <c r="E69" s="17"/>
      <c r="F69" s="17"/>
      <c r="G69" s="17"/>
      <c r="H69" s="17"/>
      <c r="I69" s="26"/>
    </row>
    <row r="70" customFormat="false" ht="12.8" hidden="false" customHeight="false" outlineLevel="0" collapsed="false">
      <c r="A70" s="42"/>
      <c r="B70" s="43"/>
      <c r="C70" s="43"/>
      <c r="D70" s="17"/>
      <c r="E70" s="17"/>
      <c r="F70" s="17"/>
      <c r="G70" s="17"/>
      <c r="H70" s="17"/>
      <c r="I70" s="26"/>
    </row>
    <row r="71" customFormat="false" ht="12.8" hidden="false" customHeight="false" outlineLevel="0" collapsed="false">
      <c r="A71" s="42"/>
      <c r="B71" s="43"/>
      <c r="C71" s="43"/>
      <c r="D71" s="17"/>
      <c r="E71" s="17"/>
      <c r="F71" s="17"/>
      <c r="G71" s="17"/>
      <c r="H71" s="17"/>
      <c r="I71" s="26"/>
    </row>
    <row r="72" customFormat="false" ht="12.8" hidden="false" customHeight="false" outlineLevel="0" collapsed="false">
      <c r="A72" s="42"/>
      <c r="B72" s="43"/>
      <c r="C72" s="43"/>
      <c r="D72" s="17"/>
      <c r="E72" s="17"/>
      <c r="F72" s="17"/>
      <c r="G72" s="17"/>
      <c r="H72" s="17"/>
      <c r="I72" s="26"/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Q1:T47"/>
  <sheetViews>
    <sheetView showFormulas="false" showGridLines="true" showRowColHeaders="true" showZeros="true" rightToLeft="false" tabSelected="false" showOutlineSymbols="true" defaultGridColor="true" view="normal" topLeftCell="Q13" colorId="64" zoomScale="120" zoomScaleNormal="120" zoomScalePageLayoutView="100" workbookViewId="0">
      <selection pane="topLeft" activeCell="Q11" activeCellId="0" sqref="Q1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8" width="26.71"/>
    <col collapsed="false" customWidth="true" hidden="false" outlineLevel="0" max="4" min="4" style="2" width="17.67"/>
    <col collapsed="false" customWidth="true" hidden="false" outlineLevel="0" max="5" min="5" style="2" width="16.55"/>
    <col collapsed="false" customWidth="true" hidden="false" outlineLevel="0" max="6" min="6" style="2" width="16.97"/>
    <col collapsed="false" customWidth="true" hidden="false" outlineLevel="0" max="7" min="7" style="2" width="19.61"/>
    <col collapsed="false" customWidth="true" hidden="false" outlineLevel="0" max="8" min="8" style="2" width="22.4"/>
    <col collapsed="false" customWidth="true" hidden="false" outlineLevel="0" max="9" min="9" style="2" width="28.52"/>
    <col collapsed="false" customWidth="false" hidden="false" outlineLevel="0" max="17" min="17" style="30" width="11.53"/>
    <col collapsed="false" customWidth="true" hidden="false" outlineLevel="0" max="18" min="18" style="30" width="55.88"/>
    <col collapsed="false" customWidth="true" hidden="false" outlineLevel="0" max="19" min="19" style="30" width="56.34"/>
    <col collapsed="false" customWidth="true" hidden="false" outlineLevel="0" max="20" min="20" style="30" width="63.99"/>
  </cols>
  <sheetData>
    <row r="1" customFormat="false" ht="26.1" hidden="false" customHeight="true" outlineLevel="0" collapsed="false">
      <c r="Q1" s="44" t="s">
        <v>239</v>
      </c>
      <c r="R1" s="44"/>
      <c r="S1" s="44"/>
      <c r="T1" s="44"/>
    </row>
    <row r="2" customFormat="false" ht="12.8" hidden="false" customHeight="false" outlineLevel="0" collapsed="false">
      <c r="Q2" s="31" t="s">
        <v>47</v>
      </c>
      <c r="R2" s="31" t="s">
        <v>39</v>
      </c>
      <c r="S2" s="31" t="s">
        <v>240</v>
      </c>
      <c r="T2" s="31" t="s">
        <v>241</v>
      </c>
    </row>
    <row r="3" customFormat="false" ht="12.8" hidden="false" customHeight="false" outlineLevel="0" collapsed="false">
      <c r="Q3" s="15" t="s">
        <v>146</v>
      </c>
      <c r="R3" s="15" t="s">
        <v>242</v>
      </c>
      <c r="S3" s="15" t="s">
        <v>243</v>
      </c>
      <c r="T3" s="15" t="s">
        <v>244</v>
      </c>
    </row>
    <row r="4" customFormat="false" ht="12.8" hidden="false" customHeight="false" outlineLevel="0" collapsed="false">
      <c r="Q4" s="15" t="s">
        <v>149</v>
      </c>
      <c r="R4" s="15" t="s">
        <v>245</v>
      </c>
      <c r="S4" s="15" t="s">
        <v>246</v>
      </c>
      <c r="T4" s="15" t="s">
        <v>247</v>
      </c>
    </row>
    <row r="5" customFormat="false" ht="12.8" hidden="false" customHeight="false" outlineLevel="0" collapsed="false">
      <c r="Q5" s="15" t="s">
        <v>152</v>
      </c>
      <c r="R5" s="15" t="s">
        <v>248</v>
      </c>
      <c r="S5" s="15" t="s">
        <v>249</v>
      </c>
      <c r="T5" s="15" t="s">
        <v>250</v>
      </c>
    </row>
    <row r="6" customFormat="false" ht="12.8" hidden="false" customHeight="false" outlineLevel="0" collapsed="false">
      <c r="Q6" s="15" t="s">
        <v>155</v>
      </c>
      <c r="R6" s="15" t="s">
        <v>251</v>
      </c>
      <c r="S6" s="15" t="s">
        <v>252</v>
      </c>
      <c r="T6" s="15" t="s">
        <v>253</v>
      </c>
    </row>
    <row r="7" customFormat="false" ht="12.8" hidden="false" customHeight="false" outlineLevel="0" collapsed="false">
      <c r="Q7" s="15" t="s">
        <v>158</v>
      </c>
      <c r="R7" s="15" t="s">
        <v>254</v>
      </c>
      <c r="S7" s="15" t="s">
        <v>255</v>
      </c>
      <c r="T7" s="15" t="s">
        <v>256</v>
      </c>
    </row>
    <row r="8" customFormat="false" ht="12.8" hidden="false" customHeight="false" outlineLevel="0" collapsed="false">
      <c r="Q8" s="15" t="s">
        <v>161</v>
      </c>
      <c r="R8" s="15" t="s">
        <v>257</v>
      </c>
      <c r="S8" s="15" t="s">
        <v>258</v>
      </c>
      <c r="T8" s="15" t="s">
        <v>259</v>
      </c>
    </row>
    <row r="9" customFormat="false" ht="12.8" hidden="false" customHeight="false" outlineLevel="0" collapsed="false">
      <c r="Q9" s="15" t="s">
        <v>164</v>
      </c>
      <c r="R9" s="15" t="s">
        <v>260</v>
      </c>
      <c r="S9" s="15" t="s">
        <v>261</v>
      </c>
      <c r="T9" s="15" t="s">
        <v>262</v>
      </c>
    </row>
    <row r="12" customFormat="false" ht="12.8" hidden="false" customHeight="true" outlineLevel="0" collapsed="false">
      <c r="Q12" s="45" t="s">
        <v>263</v>
      </c>
      <c r="R12" s="45"/>
      <c r="S12" s="45"/>
      <c r="T12" s="45"/>
    </row>
    <row r="13" customFormat="false" ht="12.8" hidden="false" customHeight="false" outlineLevel="0" collapsed="false">
      <c r="Q13" s="46" t="s">
        <v>47</v>
      </c>
      <c r="R13" s="46" t="s">
        <v>39</v>
      </c>
      <c r="S13" s="46" t="s">
        <v>240</v>
      </c>
      <c r="T13" s="46" t="s">
        <v>241</v>
      </c>
    </row>
    <row r="14" customFormat="false" ht="12.8" hidden="false" customHeight="false" outlineLevel="0" collapsed="false">
      <c r="Q14" s="24" t="s">
        <v>167</v>
      </c>
      <c r="R14" s="24" t="s">
        <v>264</v>
      </c>
      <c r="S14" s="24" t="s">
        <v>265</v>
      </c>
      <c r="T14" s="24" t="s">
        <v>266</v>
      </c>
    </row>
    <row r="15" customFormat="false" ht="12.8" hidden="false" customHeight="false" outlineLevel="0" collapsed="false">
      <c r="Q15" s="24" t="s">
        <v>170</v>
      </c>
      <c r="R15" s="24" t="s">
        <v>267</v>
      </c>
      <c r="S15" s="24" t="s">
        <v>268</v>
      </c>
      <c r="T15" s="24" t="s">
        <v>269</v>
      </c>
    </row>
    <row r="16" customFormat="false" ht="12.8" hidden="false" customHeight="false" outlineLevel="0" collapsed="false">
      <c r="Q16" s="24" t="s">
        <v>173</v>
      </c>
      <c r="R16" s="24" t="s">
        <v>270</v>
      </c>
      <c r="S16" s="24" t="s">
        <v>271</v>
      </c>
      <c r="T16" s="24" t="s">
        <v>272</v>
      </c>
    </row>
    <row r="17" customFormat="false" ht="12.8" hidden="false" customHeight="false" outlineLevel="0" collapsed="false">
      <c r="Q17" s="24" t="s">
        <v>176</v>
      </c>
      <c r="R17" s="24" t="s">
        <v>273</v>
      </c>
      <c r="S17" s="24" t="s">
        <v>274</v>
      </c>
      <c r="T17" s="24" t="s">
        <v>275</v>
      </c>
    </row>
    <row r="18" customFormat="false" ht="12.8" hidden="false" customHeight="false" outlineLevel="0" collapsed="false">
      <c r="Q18" s="24" t="s">
        <v>179</v>
      </c>
      <c r="R18" s="24" t="s">
        <v>276</v>
      </c>
      <c r="S18" s="24" t="s">
        <v>277</v>
      </c>
      <c r="T18" s="24" t="s">
        <v>278</v>
      </c>
    </row>
    <row r="19" customFormat="false" ht="12.8" hidden="false" customHeight="false" outlineLevel="0" collapsed="false">
      <c r="Q19" s="24" t="s">
        <v>182</v>
      </c>
      <c r="R19" s="24" t="s">
        <v>279</v>
      </c>
      <c r="S19" s="24" t="s">
        <v>280</v>
      </c>
      <c r="T19" s="24" t="s">
        <v>281</v>
      </c>
    </row>
    <row r="20" customFormat="false" ht="12.8" hidden="false" customHeight="false" outlineLevel="0" collapsed="false">
      <c r="Q20" s="24" t="s">
        <v>185</v>
      </c>
      <c r="R20" s="24" t="s">
        <v>282</v>
      </c>
      <c r="S20" s="24" t="s">
        <v>283</v>
      </c>
      <c r="T20" s="24" t="s">
        <v>284</v>
      </c>
    </row>
    <row r="23" customFormat="false" ht="12.8" hidden="false" customHeight="true" outlineLevel="0" collapsed="false">
      <c r="Q23" s="45" t="s">
        <v>285</v>
      </c>
      <c r="R23" s="45"/>
      <c r="S23" s="45"/>
      <c r="T23" s="45"/>
    </row>
    <row r="24" customFormat="false" ht="12.8" hidden="false" customHeight="false" outlineLevel="0" collapsed="false">
      <c r="Q24" s="46" t="s">
        <v>47</v>
      </c>
      <c r="R24" s="46" t="s">
        <v>39</v>
      </c>
      <c r="S24" s="46" t="s">
        <v>240</v>
      </c>
      <c r="T24" s="46" t="s">
        <v>241</v>
      </c>
    </row>
    <row r="25" customFormat="false" ht="12.8" hidden="false" customHeight="false" outlineLevel="0" collapsed="false">
      <c r="Q25" s="24" t="s">
        <v>188</v>
      </c>
      <c r="R25" s="24" t="s">
        <v>286</v>
      </c>
      <c r="S25" s="24" t="s">
        <v>287</v>
      </c>
      <c r="T25" s="24" t="s">
        <v>288</v>
      </c>
    </row>
    <row r="26" customFormat="false" ht="12.8" hidden="false" customHeight="false" outlineLevel="0" collapsed="false">
      <c r="Q26" s="24" t="s">
        <v>191</v>
      </c>
      <c r="R26" s="24" t="s">
        <v>289</v>
      </c>
      <c r="S26" s="24" t="s">
        <v>290</v>
      </c>
      <c r="T26" s="24" t="s">
        <v>291</v>
      </c>
    </row>
    <row r="27" customFormat="false" ht="12.8" hidden="false" customHeight="false" outlineLevel="0" collapsed="false">
      <c r="Q27" s="24" t="s">
        <v>194</v>
      </c>
      <c r="R27" s="24" t="s">
        <v>292</v>
      </c>
      <c r="S27" s="24" t="s">
        <v>293</v>
      </c>
      <c r="T27" s="24" t="s">
        <v>294</v>
      </c>
    </row>
    <row r="28" customFormat="false" ht="12.8" hidden="false" customHeight="false" outlineLevel="0" collapsed="false">
      <c r="Q28" s="24" t="s">
        <v>197</v>
      </c>
      <c r="R28" s="24" t="s">
        <v>295</v>
      </c>
      <c r="S28" s="24" t="s">
        <v>296</v>
      </c>
      <c r="T28" s="24" t="s">
        <v>297</v>
      </c>
    </row>
    <row r="29" customFormat="false" ht="12.8" hidden="false" customHeight="false" outlineLevel="0" collapsed="false">
      <c r="Q29" s="24" t="s">
        <v>200</v>
      </c>
      <c r="R29" s="24" t="s">
        <v>298</v>
      </c>
      <c r="S29" s="24" t="s">
        <v>299</v>
      </c>
      <c r="T29" s="24" t="s">
        <v>300</v>
      </c>
    </row>
    <row r="30" customFormat="false" ht="12.8" hidden="false" customHeight="false" outlineLevel="0" collapsed="false">
      <c r="Q30" s="24" t="s">
        <v>203</v>
      </c>
      <c r="R30" s="24" t="s">
        <v>301</v>
      </c>
      <c r="S30" s="24" t="s">
        <v>302</v>
      </c>
      <c r="T30" s="24" t="s">
        <v>303</v>
      </c>
    </row>
    <row r="31" customFormat="false" ht="12.8" hidden="false" customHeight="false" outlineLevel="0" collapsed="false">
      <c r="Q31" s="24" t="s">
        <v>206</v>
      </c>
      <c r="R31" s="24" t="s">
        <v>304</v>
      </c>
      <c r="S31" s="24" t="s">
        <v>305</v>
      </c>
      <c r="T31" s="24" t="s">
        <v>306</v>
      </c>
    </row>
    <row r="33" customFormat="false" ht="12.8" hidden="false" customHeight="true" outlineLevel="0" collapsed="false">
      <c r="Q33" s="45" t="s">
        <v>307</v>
      </c>
      <c r="R33" s="45"/>
      <c r="S33" s="45"/>
      <c r="T33" s="45"/>
    </row>
    <row r="34" customFormat="false" ht="12.8" hidden="false" customHeight="false" outlineLevel="0" collapsed="false">
      <c r="Q34" s="46" t="s">
        <v>47</v>
      </c>
      <c r="R34" s="46" t="s">
        <v>39</v>
      </c>
      <c r="S34" s="46" t="s">
        <v>240</v>
      </c>
      <c r="T34" s="46" t="s">
        <v>241</v>
      </c>
    </row>
    <row r="35" customFormat="false" ht="12.8" hidden="false" customHeight="false" outlineLevel="0" collapsed="false">
      <c r="Q35" s="24" t="s">
        <v>308</v>
      </c>
      <c r="R35" s="24" t="s">
        <v>309</v>
      </c>
      <c r="S35" s="24" t="s">
        <v>310</v>
      </c>
      <c r="T35" s="24" t="s">
        <v>311</v>
      </c>
    </row>
    <row r="36" customFormat="false" ht="12.8" hidden="false" customHeight="false" outlineLevel="0" collapsed="false">
      <c r="Q36" s="24" t="s">
        <v>312</v>
      </c>
      <c r="R36" s="24" t="s">
        <v>313</v>
      </c>
      <c r="S36" s="24" t="s">
        <v>314</v>
      </c>
      <c r="T36" s="24" t="s">
        <v>315</v>
      </c>
    </row>
    <row r="37" customFormat="false" ht="12.8" hidden="false" customHeight="false" outlineLevel="0" collapsed="false">
      <c r="Q37" s="24" t="s">
        <v>316</v>
      </c>
      <c r="R37" s="24" t="s">
        <v>317</v>
      </c>
      <c r="S37" s="24" t="s">
        <v>318</v>
      </c>
      <c r="T37" s="24" t="s">
        <v>319</v>
      </c>
    </row>
    <row r="38" customFormat="false" ht="12.8" hidden="false" customHeight="false" outlineLevel="0" collapsed="false">
      <c r="Q38" s="24" t="s">
        <v>320</v>
      </c>
      <c r="R38" s="24" t="s">
        <v>321</v>
      </c>
      <c r="S38" s="24" t="s">
        <v>322</v>
      </c>
      <c r="T38" s="24" t="s">
        <v>323</v>
      </c>
    </row>
    <row r="39" customFormat="false" ht="12.8" hidden="false" customHeight="false" outlineLevel="0" collapsed="false">
      <c r="Q39" s="24" t="s">
        <v>324</v>
      </c>
      <c r="R39" s="24" t="s">
        <v>325</v>
      </c>
      <c r="S39" s="24" t="s">
        <v>326</v>
      </c>
      <c r="T39" s="24" t="s">
        <v>327</v>
      </c>
    </row>
    <row r="40" customFormat="false" ht="12.8" hidden="false" customHeight="false" outlineLevel="0" collapsed="false">
      <c r="Q40" s="24" t="s">
        <v>328</v>
      </c>
      <c r="R40" s="24" t="s">
        <v>329</v>
      </c>
      <c r="S40" s="24" t="s">
        <v>330</v>
      </c>
      <c r="T40" s="24" t="s">
        <v>331</v>
      </c>
    </row>
    <row r="41" customFormat="false" ht="12.8" hidden="false" customHeight="false" outlineLevel="0" collapsed="false">
      <c r="Q41" s="24" t="s">
        <v>332</v>
      </c>
      <c r="R41" s="24" t="s">
        <v>333</v>
      </c>
      <c r="S41" s="24" t="s">
        <v>334</v>
      </c>
      <c r="T41" s="24" t="s">
        <v>335</v>
      </c>
    </row>
    <row r="44" customFormat="false" ht="15" hidden="false" customHeight="true" outlineLevel="0" collapsed="false">
      <c r="Q44" s="47" t="s">
        <v>336</v>
      </c>
      <c r="R44" s="47"/>
      <c r="S44" s="47"/>
    </row>
    <row r="45" customFormat="false" ht="12.8" hidden="false" customHeight="false" outlineLevel="0" collapsed="false">
      <c r="Q45" s="46" t="s">
        <v>47</v>
      </c>
      <c r="R45" s="46" t="s">
        <v>337</v>
      </c>
      <c r="S45" s="46" t="s">
        <v>338</v>
      </c>
    </row>
    <row r="46" customFormat="false" ht="12.8" hidden="false" customHeight="false" outlineLevel="0" collapsed="false">
      <c r="Q46" s="24" t="s">
        <v>339</v>
      </c>
      <c r="R46" s="24" t="s">
        <v>340</v>
      </c>
      <c r="S46" s="24" t="s">
        <v>341</v>
      </c>
    </row>
    <row r="47" customFormat="false" ht="12.8" hidden="false" customHeight="false" outlineLevel="0" collapsed="false">
      <c r="Q47" s="24" t="s">
        <v>342</v>
      </c>
      <c r="R47" s="24" t="s">
        <v>343</v>
      </c>
      <c r="S47" s="24" t="s">
        <v>344</v>
      </c>
    </row>
  </sheetData>
  <mergeCells count="5">
    <mergeCell ref="Q1:T1"/>
    <mergeCell ref="Q12:T12"/>
    <mergeCell ref="Q23:T23"/>
    <mergeCell ref="Q33:T33"/>
    <mergeCell ref="Q44:S4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4" colorId="64" zoomScale="120" zoomScaleNormal="120" zoomScalePageLayoutView="100" workbookViewId="0">
      <selection pane="topLeft" activeCell="A22" activeCellId="0" sqref="A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29.1"/>
    <col collapsed="false" customWidth="true" hidden="false" outlineLevel="0" max="2" min="2" style="8" width="27.48"/>
    <col collapsed="false" customWidth="true" hidden="false" outlineLevel="0" max="3" min="3" style="8" width="39.06"/>
    <col collapsed="false" customWidth="true" hidden="false" outlineLevel="0" max="4" min="4" style="8" width="21.79"/>
  </cols>
  <sheetData>
    <row r="1" customFormat="false" ht="12.8" hidden="false" customHeight="false" outlineLevel="0" collapsed="false">
      <c r="A1" s="48" t="s">
        <v>47</v>
      </c>
      <c r="B1" s="48" t="s">
        <v>345</v>
      </c>
      <c r="C1" s="48" t="s">
        <v>346</v>
      </c>
    </row>
    <row r="2" customFormat="false" ht="12.8" hidden="false" customHeight="false" outlineLevel="0" collapsed="false">
      <c r="A2" s="49" t="s">
        <v>347</v>
      </c>
      <c r="B2" s="49" t="s">
        <v>348</v>
      </c>
      <c r="C2" s="49" t="s">
        <v>349</v>
      </c>
    </row>
    <row r="3" customFormat="false" ht="12.8" hidden="false" customHeight="false" outlineLevel="0" collapsed="false">
      <c r="A3" s="49" t="s">
        <v>350</v>
      </c>
      <c r="B3" s="49" t="s">
        <v>351</v>
      </c>
      <c r="C3" s="49" t="s">
        <v>352</v>
      </c>
    </row>
    <row r="4" customFormat="false" ht="12.8" hidden="false" customHeight="false" outlineLevel="0" collapsed="false">
      <c r="A4" s="49" t="s">
        <v>353</v>
      </c>
      <c r="B4" s="49" t="s">
        <v>354</v>
      </c>
      <c r="C4" s="49" t="s">
        <v>355</v>
      </c>
    </row>
    <row r="5" customFormat="false" ht="12.8" hidden="false" customHeight="false" outlineLevel="0" collapsed="false">
      <c r="A5" s="49" t="s">
        <v>356</v>
      </c>
      <c r="B5" s="49" t="s">
        <v>357</v>
      </c>
      <c r="C5" s="49" t="s">
        <v>358</v>
      </c>
    </row>
    <row r="6" customFormat="false" ht="12.8" hidden="false" customHeight="false" outlineLevel="0" collapsed="false">
      <c r="A6" s="49" t="s">
        <v>359</v>
      </c>
      <c r="B6" s="49" t="s">
        <v>360</v>
      </c>
      <c r="C6" s="49" t="s">
        <v>361</v>
      </c>
    </row>
    <row r="7" customFormat="false" ht="12.8" hidden="false" customHeight="false" outlineLevel="0" collapsed="false">
      <c r="A7" s="49" t="s">
        <v>362</v>
      </c>
      <c r="B7" s="49" t="s">
        <v>363</v>
      </c>
      <c r="C7" s="49" t="s">
        <v>364</v>
      </c>
    </row>
    <row r="8" customFormat="false" ht="12.8" hidden="false" customHeight="false" outlineLevel="0" collapsed="false">
      <c r="A8" s="49" t="s">
        <v>365</v>
      </c>
      <c r="B8" s="49" t="s">
        <v>366</v>
      </c>
      <c r="C8" s="49" t="s">
        <v>367</v>
      </c>
    </row>
    <row r="11" customFormat="false" ht="12.8" hidden="false" customHeight="false" outlineLevel="0" collapsed="false">
      <c r="A11" s="48" t="s">
        <v>345</v>
      </c>
      <c r="B11" s="48" t="s">
        <v>368</v>
      </c>
      <c r="C11" s="48" t="s">
        <v>369</v>
      </c>
      <c r="D11" s="48" t="s">
        <v>370</v>
      </c>
    </row>
    <row r="12" customFormat="false" ht="12.8" hidden="false" customHeight="false" outlineLevel="0" collapsed="false">
      <c r="A12" s="49" t="s">
        <v>371</v>
      </c>
      <c r="B12" s="49" t="s">
        <v>372</v>
      </c>
      <c r="C12" s="49" t="s">
        <v>373</v>
      </c>
      <c r="D12" s="49" t="s">
        <v>374</v>
      </c>
    </row>
    <row r="13" customFormat="false" ht="12.8" hidden="false" customHeight="false" outlineLevel="0" collapsed="false">
      <c r="A13" s="49" t="s">
        <v>375</v>
      </c>
      <c r="B13" s="49" t="s">
        <v>376</v>
      </c>
      <c r="C13" s="49" t="s">
        <v>373</v>
      </c>
      <c r="D13" s="49" t="s">
        <v>377</v>
      </c>
    </row>
    <row r="14" customFormat="false" ht="12.8" hidden="false" customHeight="false" outlineLevel="0" collapsed="false">
      <c r="A14" s="49" t="s">
        <v>378</v>
      </c>
      <c r="B14" s="49" t="s">
        <v>379</v>
      </c>
      <c r="C14" s="49" t="s">
        <v>373</v>
      </c>
      <c r="D14" s="49" t="s">
        <v>374</v>
      </c>
    </row>
    <row r="15" customFormat="false" ht="12.8" hidden="false" customHeight="false" outlineLevel="0" collapsed="false">
      <c r="A15" s="49" t="s">
        <v>380</v>
      </c>
      <c r="B15" s="49" t="s">
        <v>381</v>
      </c>
      <c r="C15" s="49" t="s">
        <v>373</v>
      </c>
      <c r="D15" s="49" t="s">
        <v>382</v>
      </c>
    </row>
    <row r="16" customFormat="false" ht="12.8" hidden="false" customHeight="false" outlineLevel="0" collapsed="false">
      <c r="A16" s="49" t="s">
        <v>383</v>
      </c>
      <c r="B16" s="49" t="s">
        <v>384</v>
      </c>
      <c r="C16" s="49" t="s">
        <v>385</v>
      </c>
      <c r="D16" s="49" t="s">
        <v>386</v>
      </c>
    </row>
    <row r="17" customFormat="false" ht="12.8" hidden="false" customHeight="false" outlineLevel="0" collapsed="false">
      <c r="A17" s="49" t="s">
        <v>387</v>
      </c>
      <c r="B17" s="49" t="s">
        <v>388</v>
      </c>
      <c r="C17" s="49" t="s">
        <v>389</v>
      </c>
      <c r="D17" s="49" t="s">
        <v>390</v>
      </c>
    </row>
    <row r="21" customFormat="false" ht="15" hidden="false" customHeight="false" outlineLevel="0" collapsed="false">
      <c r="A21" s="50" t="s">
        <v>391</v>
      </c>
    </row>
    <row r="22" customFormat="false" ht="12.8" hidden="false" customHeight="false" outlineLevel="0" collapsed="false">
      <c r="A22" s="31" t="s">
        <v>392</v>
      </c>
      <c r="B22" s="31" t="s">
        <v>393</v>
      </c>
      <c r="C22" s="31" t="s">
        <v>368</v>
      </c>
      <c r="D22" s="31" t="s">
        <v>370</v>
      </c>
    </row>
    <row r="23" customFormat="false" ht="12.8" hidden="false" customHeight="false" outlineLevel="0" collapsed="false">
      <c r="A23" s="15" t="s">
        <v>394</v>
      </c>
      <c r="B23" s="15" t="s">
        <v>395</v>
      </c>
      <c r="C23" s="15" t="n">
        <v>1</v>
      </c>
      <c r="D23" s="15" t="s">
        <v>390</v>
      </c>
    </row>
    <row r="24" customFormat="false" ht="12.8" hidden="false" customHeight="false" outlineLevel="0" collapsed="false">
      <c r="A24" s="15" t="s">
        <v>396</v>
      </c>
      <c r="B24" s="15" t="s">
        <v>397</v>
      </c>
      <c r="C24" s="15" t="n">
        <v>3</v>
      </c>
      <c r="D24" s="15" t="s">
        <v>382</v>
      </c>
    </row>
    <row r="25" customFormat="false" ht="12.8" hidden="false" customHeight="false" outlineLevel="0" collapsed="false">
      <c r="A25" s="15" t="s">
        <v>398</v>
      </c>
      <c r="B25" s="15" t="s">
        <v>399</v>
      </c>
      <c r="C25" s="15" t="n">
        <v>3</v>
      </c>
      <c r="D25" s="15" t="s">
        <v>390</v>
      </c>
    </row>
    <row r="26" customFormat="false" ht="23.85" hidden="false" customHeight="false" outlineLevel="0" collapsed="false">
      <c r="A26" s="15" t="s">
        <v>400</v>
      </c>
      <c r="B26" s="15" t="s">
        <v>401</v>
      </c>
      <c r="C26" s="15" t="n">
        <v>2</v>
      </c>
      <c r="D26" s="15" t="s">
        <v>374</v>
      </c>
    </row>
    <row r="27" customFormat="false" ht="12.8" hidden="false" customHeight="false" outlineLevel="0" collapsed="false">
      <c r="A27" s="15" t="s">
        <v>402</v>
      </c>
      <c r="B27" s="15" t="s">
        <v>403</v>
      </c>
      <c r="C27" s="15" t="s">
        <v>404</v>
      </c>
      <c r="D27" s="15" t="s">
        <v>374</v>
      </c>
    </row>
    <row r="28" customFormat="false" ht="12.8" hidden="false" customHeight="false" outlineLevel="0" collapsed="false">
      <c r="A28" s="15" t="s">
        <v>405</v>
      </c>
      <c r="B28" s="15" t="s">
        <v>406</v>
      </c>
      <c r="C28" s="15" t="n">
        <v>1</v>
      </c>
      <c r="D28" s="15" t="s">
        <v>390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7" activeCellId="0" sqref="A10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78"/>
    <col collapsed="false" customWidth="true" hidden="false" outlineLevel="0" max="2" min="2" style="8" width="24.76"/>
    <col collapsed="false" customWidth="true" hidden="false" outlineLevel="0" max="3" min="3" style="8" width="43.82"/>
    <col collapsed="false" customWidth="true" hidden="false" outlineLevel="0" max="4" min="4" style="8" width="58.43"/>
    <col collapsed="false" customWidth="true" hidden="false" outlineLevel="0" max="5" min="5" style="8" width="31.02"/>
  </cols>
  <sheetData>
    <row r="1" customFormat="false" ht="15" hidden="false" customHeight="false" outlineLevel="0" collapsed="false">
      <c r="A1" s="9" t="s">
        <v>1</v>
      </c>
      <c r="B1" s="9" t="s">
        <v>39</v>
      </c>
      <c r="C1" s="9" t="s">
        <v>407</v>
      </c>
      <c r="D1" s="9" t="s">
        <v>408</v>
      </c>
      <c r="E1" s="9" t="s">
        <v>3</v>
      </c>
    </row>
    <row r="2" customFormat="false" ht="12.8" hidden="false" customHeight="false" outlineLevel="0" collapsed="false">
      <c r="A2" s="27" t="n">
        <f aca="false">ROW()-1</f>
        <v>1</v>
      </c>
      <c r="B2" s="51" t="s">
        <v>409</v>
      </c>
      <c r="C2" s="51" t="s">
        <v>410</v>
      </c>
      <c r="D2" s="51" t="s">
        <v>411</v>
      </c>
      <c r="E2" s="52" t="s">
        <v>14</v>
      </c>
    </row>
    <row r="3" customFormat="false" ht="12.8" hidden="false" customHeight="false" outlineLevel="0" collapsed="false">
      <c r="A3" s="27" t="n">
        <f aca="false">ROW()-1</f>
        <v>2</v>
      </c>
      <c r="B3" s="51" t="s">
        <v>409</v>
      </c>
      <c r="C3" s="51" t="s">
        <v>412</v>
      </c>
      <c r="D3" s="51" t="s">
        <v>413</v>
      </c>
      <c r="E3" s="52" t="s">
        <v>14</v>
      </c>
    </row>
    <row r="4" customFormat="false" ht="12.8" hidden="false" customHeight="false" outlineLevel="0" collapsed="false">
      <c r="A4" s="27" t="n">
        <f aca="false">ROW()-1</f>
        <v>3</v>
      </c>
      <c r="B4" s="51" t="s">
        <v>409</v>
      </c>
      <c r="C4" s="51" t="s">
        <v>414</v>
      </c>
      <c r="D4" s="51" t="s">
        <v>415</v>
      </c>
      <c r="E4" s="52" t="s">
        <v>29</v>
      </c>
    </row>
    <row r="5" customFormat="false" ht="12.8" hidden="false" customHeight="false" outlineLevel="0" collapsed="false">
      <c r="A5" s="27" t="n">
        <f aca="false">ROW()-1</f>
        <v>4</v>
      </c>
      <c r="B5" s="51" t="s">
        <v>409</v>
      </c>
      <c r="C5" s="51" t="s">
        <v>416</v>
      </c>
      <c r="D5" s="51" t="s">
        <v>417</v>
      </c>
      <c r="E5" s="52" t="s">
        <v>14</v>
      </c>
    </row>
    <row r="6" customFormat="false" ht="12.8" hidden="false" customHeight="false" outlineLevel="0" collapsed="false">
      <c r="A6" s="27" t="n">
        <f aca="false">ROW()-1</f>
        <v>5</v>
      </c>
      <c r="B6" s="51" t="s">
        <v>409</v>
      </c>
      <c r="C6" s="51" t="s">
        <v>418</v>
      </c>
      <c r="D6" s="51" t="s">
        <v>419</v>
      </c>
      <c r="E6" s="52" t="s">
        <v>29</v>
      </c>
    </row>
    <row r="7" customFormat="false" ht="12.8" hidden="false" customHeight="false" outlineLevel="0" collapsed="false">
      <c r="A7" s="27" t="n">
        <f aca="false">ROW()-1</f>
        <v>6</v>
      </c>
      <c r="B7" s="51" t="s">
        <v>409</v>
      </c>
      <c r="C7" s="51" t="s">
        <v>420</v>
      </c>
      <c r="D7" s="51" t="s">
        <v>421</v>
      </c>
      <c r="E7" s="52" t="s">
        <v>29</v>
      </c>
    </row>
    <row r="8" customFormat="false" ht="12.8" hidden="false" customHeight="false" outlineLevel="0" collapsed="false">
      <c r="A8" s="27" t="n">
        <f aca="false">ROW()-1</f>
        <v>7</v>
      </c>
      <c r="B8" s="51" t="s">
        <v>409</v>
      </c>
      <c r="C8" s="51" t="s">
        <v>422</v>
      </c>
      <c r="D8" s="51" t="s">
        <v>423</v>
      </c>
      <c r="E8" s="52" t="s">
        <v>29</v>
      </c>
    </row>
    <row r="9" customFormat="false" ht="12.8" hidden="false" customHeight="false" outlineLevel="0" collapsed="false">
      <c r="A9" s="27" t="n">
        <f aca="false">ROW()-1</f>
        <v>8</v>
      </c>
      <c r="B9" s="51" t="s">
        <v>409</v>
      </c>
      <c r="C9" s="51" t="s">
        <v>424</v>
      </c>
      <c r="D9" s="51" t="s">
        <v>425</v>
      </c>
      <c r="E9" s="52" t="s">
        <v>29</v>
      </c>
    </row>
    <row r="10" customFormat="false" ht="12.8" hidden="false" customHeight="false" outlineLevel="0" collapsed="false">
      <c r="A10" s="27" t="n">
        <f aca="false">ROW()-1</f>
        <v>9</v>
      </c>
      <c r="B10" s="51" t="s">
        <v>426</v>
      </c>
      <c r="C10" s="51" t="s">
        <v>427</v>
      </c>
      <c r="D10" s="51" t="s">
        <v>428</v>
      </c>
      <c r="E10" s="52" t="s">
        <v>14</v>
      </c>
    </row>
    <row r="11" customFormat="false" ht="12.8" hidden="false" customHeight="false" outlineLevel="0" collapsed="false">
      <c r="A11" s="27" t="n">
        <f aca="false">ROW()-1</f>
        <v>10</v>
      </c>
      <c r="B11" s="51" t="s">
        <v>426</v>
      </c>
      <c r="C11" s="51" t="s">
        <v>429</v>
      </c>
      <c r="D11" s="51" t="s">
        <v>430</v>
      </c>
      <c r="E11" s="52" t="s">
        <v>29</v>
      </c>
    </row>
    <row r="12" customFormat="false" ht="12.8" hidden="false" customHeight="false" outlineLevel="0" collapsed="false">
      <c r="A12" s="27" t="n">
        <f aca="false">ROW()-1</f>
        <v>11</v>
      </c>
      <c r="B12" s="51" t="s">
        <v>426</v>
      </c>
      <c r="C12" s="51" t="s">
        <v>431</v>
      </c>
      <c r="D12" s="51" t="s">
        <v>432</v>
      </c>
      <c r="E12" s="52" t="s">
        <v>29</v>
      </c>
    </row>
    <row r="13" customFormat="false" ht="12.8" hidden="false" customHeight="false" outlineLevel="0" collapsed="false">
      <c r="A13" s="27" t="n">
        <f aca="false">ROW()-1</f>
        <v>12</v>
      </c>
      <c r="B13" s="51" t="s">
        <v>426</v>
      </c>
      <c r="C13" s="51" t="s">
        <v>32</v>
      </c>
      <c r="D13" s="51" t="s">
        <v>433</v>
      </c>
      <c r="E13" s="52" t="s">
        <v>29</v>
      </c>
    </row>
    <row r="14" customFormat="false" ht="12.8" hidden="false" customHeight="false" outlineLevel="0" collapsed="false">
      <c r="A14" s="27" t="n">
        <f aca="false">ROW()-1</f>
        <v>13</v>
      </c>
      <c r="B14" s="51" t="s">
        <v>426</v>
      </c>
      <c r="C14" s="51" t="s">
        <v>434</v>
      </c>
      <c r="D14" s="51" t="s">
        <v>435</v>
      </c>
      <c r="E14" s="52" t="s">
        <v>14</v>
      </c>
    </row>
    <row r="15" customFormat="false" ht="12.8" hidden="false" customHeight="false" outlineLevel="0" collapsed="false">
      <c r="A15" s="27" t="n">
        <f aca="false">ROW()-1</f>
        <v>14</v>
      </c>
      <c r="B15" s="51" t="s">
        <v>436</v>
      </c>
      <c r="C15" s="51" t="s">
        <v>437</v>
      </c>
      <c r="D15" s="51" t="s">
        <v>438</v>
      </c>
      <c r="E15" s="52" t="s">
        <v>14</v>
      </c>
    </row>
    <row r="16" customFormat="false" ht="12.8" hidden="false" customHeight="false" outlineLevel="0" collapsed="false">
      <c r="A16" s="27" t="n">
        <f aca="false">ROW()-1</f>
        <v>15</v>
      </c>
      <c r="B16" s="51" t="s">
        <v>436</v>
      </c>
      <c r="C16" s="51" t="s">
        <v>439</v>
      </c>
      <c r="D16" s="51" t="s">
        <v>440</v>
      </c>
      <c r="E16" s="52" t="s">
        <v>14</v>
      </c>
    </row>
    <row r="17" customFormat="false" ht="12.8" hidden="false" customHeight="false" outlineLevel="0" collapsed="false">
      <c r="A17" s="27" t="n">
        <f aca="false">ROW()-1</f>
        <v>16</v>
      </c>
      <c r="B17" s="51" t="s">
        <v>436</v>
      </c>
      <c r="C17" s="51" t="s">
        <v>441</v>
      </c>
      <c r="D17" s="51" t="s">
        <v>442</v>
      </c>
      <c r="E17" s="52" t="s">
        <v>14</v>
      </c>
    </row>
    <row r="18" customFormat="false" ht="12.8" hidden="false" customHeight="false" outlineLevel="0" collapsed="false">
      <c r="A18" s="27" t="n">
        <f aca="false">ROW()-1</f>
        <v>17</v>
      </c>
      <c r="B18" s="51" t="s">
        <v>436</v>
      </c>
      <c r="C18" s="51" t="s">
        <v>443</v>
      </c>
      <c r="D18" s="51" t="s">
        <v>444</v>
      </c>
      <c r="E18" s="52" t="s">
        <v>14</v>
      </c>
    </row>
    <row r="19" customFormat="false" ht="12.8" hidden="false" customHeight="false" outlineLevel="0" collapsed="false">
      <c r="A19" s="27" t="n">
        <f aca="false">ROW()-1</f>
        <v>18</v>
      </c>
      <c r="B19" s="51" t="s">
        <v>436</v>
      </c>
      <c r="C19" s="51" t="s">
        <v>445</v>
      </c>
      <c r="D19" s="51" t="s">
        <v>446</v>
      </c>
      <c r="E19" s="52" t="s">
        <v>29</v>
      </c>
    </row>
    <row r="20" customFormat="false" ht="12.8" hidden="false" customHeight="false" outlineLevel="0" collapsed="false">
      <c r="A20" s="27" t="n">
        <f aca="false">ROW()-1</f>
        <v>19</v>
      </c>
      <c r="B20" s="51" t="s">
        <v>447</v>
      </c>
      <c r="C20" s="51" t="s">
        <v>448</v>
      </c>
      <c r="D20" s="51" t="s">
        <v>449</v>
      </c>
      <c r="E20" s="52" t="s">
        <v>14</v>
      </c>
    </row>
    <row r="21" customFormat="false" ht="12.8" hidden="false" customHeight="false" outlineLevel="0" collapsed="false">
      <c r="A21" s="27" t="n">
        <f aca="false">ROW()-1</f>
        <v>20</v>
      </c>
      <c r="B21" s="51" t="s">
        <v>447</v>
      </c>
      <c r="C21" s="51" t="s">
        <v>450</v>
      </c>
      <c r="D21" s="51" t="s">
        <v>451</v>
      </c>
      <c r="E21" s="52" t="s">
        <v>29</v>
      </c>
    </row>
    <row r="22" customFormat="false" ht="12.8" hidden="false" customHeight="false" outlineLevel="0" collapsed="false">
      <c r="A22" s="27" t="n">
        <f aca="false">ROW()-1</f>
        <v>21</v>
      </c>
      <c r="B22" s="51" t="s">
        <v>447</v>
      </c>
      <c r="C22" s="51" t="s">
        <v>452</v>
      </c>
      <c r="D22" s="51" t="s">
        <v>453</v>
      </c>
      <c r="E22" s="52" t="s">
        <v>29</v>
      </c>
    </row>
    <row r="23" customFormat="false" ht="12.8" hidden="false" customHeight="false" outlineLevel="0" collapsed="false">
      <c r="A23" s="27" t="n">
        <f aca="false">ROW()-1</f>
        <v>22</v>
      </c>
      <c r="B23" s="51" t="s">
        <v>447</v>
      </c>
      <c r="C23" s="51" t="s">
        <v>454</v>
      </c>
      <c r="D23" s="51" t="s">
        <v>455</v>
      </c>
      <c r="E23" s="52" t="s">
        <v>29</v>
      </c>
    </row>
    <row r="24" customFormat="false" ht="12.8" hidden="false" customHeight="false" outlineLevel="0" collapsed="false">
      <c r="A24" s="27" t="n">
        <f aca="false">ROW()-1</f>
        <v>23</v>
      </c>
      <c r="B24" s="51" t="s">
        <v>456</v>
      </c>
      <c r="C24" s="51" t="s">
        <v>457</v>
      </c>
      <c r="D24" s="51" t="s">
        <v>458</v>
      </c>
      <c r="E24" s="52" t="s">
        <v>14</v>
      </c>
    </row>
    <row r="25" customFormat="false" ht="12.8" hidden="false" customHeight="false" outlineLevel="0" collapsed="false">
      <c r="A25" s="27" t="n">
        <f aca="false">ROW()-1</f>
        <v>24</v>
      </c>
      <c r="B25" s="51" t="s">
        <v>456</v>
      </c>
      <c r="C25" s="51" t="s">
        <v>459</v>
      </c>
      <c r="D25" s="51" t="s">
        <v>460</v>
      </c>
      <c r="E25" s="52" t="s">
        <v>14</v>
      </c>
    </row>
    <row r="26" customFormat="false" ht="12.8" hidden="false" customHeight="false" outlineLevel="0" collapsed="false">
      <c r="A26" s="27" t="n">
        <f aca="false">ROW()-1</f>
        <v>25</v>
      </c>
      <c r="B26" s="51" t="s">
        <v>456</v>
      </c>
      <c r="C26" s="51" t="s">
        <v>461</v>
      </c>
      <c r="D26" s="51" t="s">
        <v>462</v>
      </c>
      <c r="E26" s="52" t="s">
        <v>29</v>
      </c>
    </row>
    <row r="27" customFormat="false" ht="12.8" hidden="false" customHeight="false" outlineLevel="0" collapsed="false">
      <c r="A27" s="27" t="n">
        <f aca="false">ROW()-1</f>
        <v>26</v>
      </c>
      <c r="B27" s="51" t="s">
        <v>456</v>
      </c>
      <c r="C27" s="51" t="s">
        <v>463</v>
      </c>
      <c r="D27" s="51" t="s">
        <v>464</v>
      </c>
      <c r="E27" s="52" t="s">
        <v>14</v>
      </c>
    </row>
    <row r="28" customFormat="false" ht="12.8" hidden="false" customHeight="false" outlineLevel="0" collapsed="false">
      <c r="A28" s="27" t="n">
        <f aca="false">ROW()-1</f>
        <v>27</v>
      </c>
      <c r="B28" s="51" t="s">
        <v>456</v>
      </c>
      <c r="C28" s="51" t="s">
        <v>465</v>
      </c>
      <c r="D28" s="51" t="s">
        <v>466</v>
      </c>
      <c r="E28" s="52" t="s">
        <v>467</v>
      </c>
    </row>
    <row r="29" customFormat="false" ht="12.8" hidden="false" customHeight="false" outlineLevel="0" collapsed="false">
      <c r="A29" s="27" t="n">
        <f aca="false">ROW()-1</f>
        <v>28</v>
      </c>
      <c r="B29" s="51" t="s">
        <v>468</v>
      </c>
      <c r="C29" s="51" t="s">
        <v>469</v>
      </c>
      <c r="D29" s="51" t="s">
        <v>470</v>
      </c>
      <c r="E29" s="52" t="s">
        <v>467</v>
      </c>
    </row>
    <row r="30" customFormat="false" ht="12.8" hidden="false" customHeight="false" outlineLevel="0" collapsed="false">
      <c r="A30" s="27" t="n">
        <f aca="false">ROW()-1</f>
        <v>29</v>
      </c>
      <c r="B30" s="51" t="s">
        <v>468</v>
      </c>
      <c r="C30" s="51" t="s">
        <v>471</v>
      </c>
      <c r="D30" s="51" t="s">
        <v>472</v>
      </c>
      <c r="E30" s="52" t="s">
        <v>29</v>
      </c>
    </row>
    <row r="31" customFormat="false" ht="12.8" hidden="false" customHeight="false" outlineLevel="0" collapsed="false">
      <c r="A31" s="27" t="n">
        <f aca="false">ROW()-1</f>
        <v>30</v>
      </c>
      <c r="B31" s="51" t="s">
        <v>473</v>
      </c>
      <c r="C31" s="51" t="s">
        <v>474</v>
      </c>
      <c r="D31" s="51" t="s">
        <v>475</v>
      </c>
      <c r="E31" s="52" t="s">
        <v>29</v>
      </c>
    </row>
    <row r="32" customFormat="false" ht="12.8" hidden="false" customHeight="false" outlineLevel="0" collapsed="false">
      <c r="A32" s="27" t="n">
        <f aca="false">ROW()-1</f>
        <v>31</v>
      </c>
      <c r="B32" s="51" t="s">
        <v>473</v>
      </c>
      <c r="C32" s="51" t="s">
        <v>476</v>
      </c>
      <c r="D32" s="51" t="s">
        <v>477</v>
      </c>
      <c r="E32" s="52" t="s">
        <v>29</v>
      </c>
    </row>
    <row r="33" customFormat="false" ht="12.8" hidden="false" customHeight="false" outlineLevel="0" collapsed="false">
      <c r="A33" s="27" t="n">
        <f aca="false">ROW()-1</f>
        <v>32</v>
      </c>
      <c r="B33" s="51" t="s">
        <v>473</v>
      </c>
      <c r="C33" s="51" t="s">
        <v>478</v>
      </c>
      <c r="D33" s="51" t="s">
        <v>479</v>
      </c>
      <c r="E33" s="52" t="s">
        <v>29</v>
      </c>
    </row>
    <row r="34" customFormat="false" ht="12.8" hidden="false" customHeight="false" outlineLevel="0" collapsed="false">
      <c r="A34" s="27" t="n">
        <f aca="false">ROW()-1</f>
        <v>33</v>
      </c>
      <c r="B34" s="51" t="s">
        <v>473</v>
      </c>
      <c r="C34" s="51" t="s">
        <v>480</v>
      </c>
      <c r="D34" s="51" t="s">
        <v>481</v>
      </c>
      <c r="E34" s="52" t="s">
        <v>29</v>
      </c>
    </row>
    <row r="35" customFormat="false" ht="12.8" hidden="false" customHeight="false" outlineLevel="0" collapsed="false">
      <c r="A35" s="27" t="n">
        <f aca="false">ROW()-1</f>
        <v>34</v>
      </c>
      <c r="B35" s="51" t="s">
        <v>482</v>
      </c>
      <c r="C35" s="51" t="s">
        <v>483</v>
      </c>
      <c r="D35" s="51" t="s">
        <v>484</v>
      </c>
      <c r="E35" s="52" t="s">
        <v>14</v>
      </c>
    </row>
    <row r="36" customFormat="false" ht="12.8" hidden="false" customHeight="false" outlineLevel="0" collapsed="false">
      <c r="A36" s="27" t="n">
        <f aca="false">ROW()-1</f>
        <v>35</v>
      </c>
      <c r="B36" s="51" t="s">
        <v>482</v>
      </c>
      <c r="C36" s="51" t="s">
        <v>485</v>
      </c>
      <c r="D36" s="51" t="s">
        <v>486</v>
      </c>
      <c r="E36" s="52" t="s">
        <v>29</v>
      </c>
    </row>
    <row r="37" customFormat="false" ht="12.8" hidden="false" customHeight="false" outlineLevel="0" collapsed="false">
      <c r="A37" s="27" t="n">
        <f aca="false">ROW()-1</f>
        <v>36</v>
      </c>
      <c r="B37" s="51" t="s">
        <v>482</v>
      </c>
      <c r="C37" s="51" t="s">
        <v>487</v>
      </c>
      <c r="D37" s="51" t="s">
        <v>488</v>
      </c>
      <c r="E37" s="52" t="s">
        <v>29</v>
      </c>
    </row>
    <row r="38" customFormat="false" ht="12.8" hidden="false" customHeight="false" outlineLevel="0" collapsed="false">
      <c r="A38" s="27" t="n">
        <f aca="false">ROW()-1</f>
        <v>37</v>
      </c>
      <c r="B38" s="51" t="s">
        <v>482</v>
      </c>
      <c r="C38" s="51" t="s">
        <v>489</v>
      </c>
      <c r="D38" s="51" t="s">
        <v>490</v>
      </c>
      <c r="E38" s="52" t="s">
        <v>29</v>
      </c>
    </row>
    <row r="39" customFormat="false" ht="12.8" hidden="false" customHeight="false" outlineLevel="0" collapsed="false">
      <c r="A39" s="27" t="n">
        <f aca="false">ROW()-1</f>
        <v>38</v>
      </c>
      <c r="B39" s="51" t="s">
        <v>482</v>
      </c>
      <c r="C39" s="51" t="s">
        <v>491</v>
      </c>
      <c r="D39" s="51" t="s">
        <v>492</v>
      </c>
      <c r="E39" s="52" t="s">
        <v>29</v>
      </c>
    </row>
    <row r="40" customFormat="false" ht="12.8" hidden="false" customHeight="false" outlineLevel="0" collapsed="false">
      <c r="A40" s="27" t="n">
        <f aca="false">ROW()-1</f>
        <v>39</v>
      </c>
      <c r="B40" s="51" t="s">
        <v>493</v>
      </c>
      <c r="C40" s="51" t="s">
        <v>494</v>
      </c>
      <c r="D40" s="51" t="s">
        <v>495</v>
      </c>
      <c r="E40" s="52" t="s">
        <v>29</v>
      </c>
    </row>
    <row r="41" customFormat="false" ht="12.8" hidden="false" customHeight="false" outlineLevel="0" collapsed="false">
      <c r="A41" s="27" t="n">
        <f aca="false">ROW()-1</f>
        <v>40</v>
      </c>
      <c r="B41" s="51" t="s">
        <v>493</v>
      </c>
      <c r="C41" s="51" t="s">
        <v>496</v>
      </c>
      <c r="D41" s="51" t="s">
        <v>497</v>
      </c>
      <c r="E41" s="52" t="s">
        <v>29</v>
      </c>
    </row>
    <row r="42" customFormat="false" ht="12.8" hidden="false" customHeight="false" outlineLevel="0" collapsed="false">
      <c r="A42" s="27" t="n">
        <f aca="false">ROW()-1</f>
        <v>41</v>
      </c>
      <c r="B42" s="51" t="s">
        <v>493</v>
      </c>
      <c r="C42" s="51" t="s">
        <v>498</v>
      </c>
      <c r="D42" s="51" t="s">
        <v>499</v>
      </c>
      <c r="E42" s="52" t="s">
        <v>29</v>
      </c>
    </row>
    <row r="43" customFormat="false" ht="12.8" hidden="false" customHeight="false" outlineLevel="0" collapsed="false">
      <c r="A43" s="27" t="n">
        <f aca="false">ROW()-1</f>
        <v>42</v>
      </c>
      <c r="B43" s="51" t="s">
        <v>493</v>
      </c>
      <c r="C43" s="51" t="s">
        <v>500</v>
      </c>
      <c r="D43" s="51" t="s">
        <v>501</v>
      </c>
      <c r="E43" s="52" t="s">
        <v>467</v>
      </c>
    </row>
    <row r="44" customFormat="false" ht="12.8" hidden="false" customHeight="false" outlineLevel="0" collapsed="false">
      <c r="A44" s="27" t="n">
        <f aca="false">ROW()-1</f>
        <v>43</v>
      </c>
      <c r="B44" s="51" t="s">
        <v>502</v>
      </c>
      <c r="C44" s="51" t="s">
        <v>503</v>
      </c>
      <c r="D44" s="51" t="s">
        <v>504</v>
      </c>
      <c r="E44" s="52" t="s">
        <v>14</v>
      </c>
    </row>
    <row r="45" customFormat="false" ht="12.8" hidden="false" customHeight="false" outlineLevel="0" collapsed="false">
      <c r="A45" s="27" t="n">
        <f aca="false">ROW()-1</f>
        <v>44</v>
      </c>
      <c r="B45" s="51" t="s">
        <v>502</v>
      </c>
      <c r="C45" s="51" t="s">
        <v>505</v>
      </c>
      <c r="D45" s="51" t="s">
        <v>506</v>
      </c>
      <c r="E45" s="52" t="s">
        <v>14</v>
      </c>
    </row>
    <row r="46" customFormat="false" ht="12.8" hidden="false" customHeight="false" outlineLevel="0" collapsed="false">
      <c r="A46" s="27" t="n">
        <f aca="false">ROW()-1</f>
        <v>45</v>
      </c>
      <c r="B46" s="51" t="s">
        <v>502</v>
      </c>
      <c r="C46" s="51" t="s">
        <v>507</v>
      </c>
      <c r="D46" s="51" t="s">
        <v>508</v>
      </c>
      <c r="E46" s="52" t="s">
        <v>14</v>
      </c>
    </row>
    <row r="47" customFormat="false" ht="12.8" hidden="false" customHeight="false" outlineLevel="0" collapsed="false">
      <c r="A47" s="27" t="n">
        <f aca="false">ROW()-1</f>
        <v>46</v>
      </c>
      <c r="B47" s="51" t="s">
        <v>509</v>
      </c>
      <c r="C47" s="51" t="s">
        <v>510</v>
      </c>
      <c r="D47" s="51" t="s">
        <v>511</v>
      </c>
      <c r="E47" s="52" t="s">
        <v>29</v>
      </c>
    </row>
    <row r="48" customFormat="false" ht="12.8" hidden="false" customHeight="false" outlineLevel="0" collapsed="false">
      <c r="A48" s="27" t="n">
        <f aca="false">ROW()-1</f>
        <v>47</v>
      </c>
      <c r="B48" s="51" t="s">
        <v>509</v>
      </c>
      <c r="C48" s="51" t="s">
        <v>512</v>
      </c>
      <c r="D48" s="51" t="s">
        <v>513</v>
      </c>
      <c r="E48" s="52" t="s">
        <v>29</v>
      </c>
    </row>
    <row r="49" customFormat="false" ht="12.8" hidden="false" customHeight="false" outlineLevel="0" collapsed="false">
      <c r="A49" s="27" t="n">
        <f aca="false">ROW()-1</f>
        <v>48</v>
      </c>
      <c r="B49" s="51" t="s">
        <v>509</v>
      </c>
      <c r="C49" s="51" t="s">
        <v>514</v>
      </c>
      <c r="D49" s="51" t="s">
        <v>515</v>
      </c>
      <c r="E49" s="52" t="s">
        <v>29</v>
      </c>
    </row>
    <row r="51" customFormat="false" ht="12.8" hidden="false" customHeight="false" outlineLevel="0" collapsed="false">
      <c r="A51" s="8"/>
      <c r="B51" s="8" t="s">
        <v>39</v>
      </c>
      <c r="C51" s="8" t="s">
        <v>407</v>
      </c>
      <c r="D51" s="8" t="s">
        <v>408</v>
      </c>
      <c r="E51" s="8" t="s">
        <v>3</v>
      </c>
    </row>
    <row r="52" customFormat="false" ht="12.8" hidden="false" customHeight="false" outlineLevel="0" collapsed="false">
      <c r="A52" s="1" t="n">
        <f aca="false">ROW()-51</f>
        <v>1</v>
      </c>
      <c r="B52" s="8" t="s">
        <v>516</v>
      </c>
      <c r="C52" s="8" t="s">
        <v>410</v>
      </c>
      <c r="D52" s="8" t="s">
        <v>411</v>
      </c>
      <c r="E52" s="8" t="s">
        <v>14</v>
      </c>
    </row>
    <row r="53" customFormat="false" ht="12.8" hidden="false" customHeight="false" outlineLevel="0" collapsed="false">
      <c r="A53" s="1" t="n">
        <f aca="false">ROW()-51</f>
        <v>2</v>
      </c>
      <c r="B53" s="8" t="s">
        <v>516</v>
      </c>
      <c r="C53" s="8" t="s">
        <v>412</v>
      </c>
      <c r="D53" s="8" t="s">
        <v>413</v>
      </c>
      <c r="E53" s="8" t="s">
        <v>14</v>
      </c>
    </row>
    <row r="54" customFormat="false" ht="12.8" hidden="false" customHeight="false" outlineLevel="0" collapsed="false">
      <c r="A54" s="1" t="n">
        <f aca="false">ROW()-51</f>
        <v>3</v>
      </c>
      <c r="B54" s="8" t="s">
        <v>516</v>
      </c>
      <c r="C54" s="8" t="s">
        <v>414</v>
      </c>
      <c r="D54" s="8" t="s">
        <v>415</v>
      </c>
      <c r="E54" s="8" t="s">
        <v>29</v>
      </c>
    </row>
    <row r="55" customFormat="false" ht="12.8" hidden="false" customHeight="false" outlineLevel="0" collapsed="false">
      <c r="A55" s="1" t="n">
        <f aca="false">ROW()-51</f>
        <v>4</v>
      </c>
      <c r="B55" s="8" t="s">
        <v>516</v>
      </c>
      <c r="C55" s="8" t="s">
        <v>517</v>
      </c>
      <c r="D55" s="8" t="s">
        <v>417</v>
      </c>
      <c r="E55" s="8" t="s">
        <v>14</v>
      </c>
    </row>
    <row r="56" customFormat="false" ht="12.8" hidden="false" customHeight="false" outlineLevel="0" collapsed="false">
      <c r="A56" s="1" t="n">
        <f aca="false">ROW()-51</f>
        <v>5</v>
      </c>
      <c r="B56" s="8" t="s">
        <v>516</v>
      </c>
      <c r="C56" s="8" t="s">
        <v>418</v>
      </c>
      <c r="D56" s="8" t="s">
        <v>419</v>
      </c>
      <c r="E56" s="8" t="s">
        <v>29</v>
      </c>
    </row>
    <row r="57" customFormat="false" ht="12.8" hidden="false" customHeight="false" outlineLevel="0" collapsed="false">
      <c r="A57" s="1" t="n">
        <f aca="false">ROW()-51</f>
        <v>6</v>
      </c>
      <c r="B57" s="8" t="s">
        <v>516</v>
      </c>
      <c r="C57" s="8" t="s">
        <v>420</v>
      </c>
      <c r="D57" s="8" t="s">
        <v>421</v>
      </c>
      <c r="E57" s="8" t="s">
        <v>29</v>
      </c>
    </row>
    <row r="58" customFormat="false" ht="12.8" hidden="false" customHeight="false" outlineLevel="0" collapsed="false">
      <c r="A58" s="1" t="n">
        <f aca="false">ROW()-51</f>
        <v>7</v>
      </c>
      <c r="B58" s="8" t="s">
        <v>516</v>
      </c>
      <c r="C58" s="8" t="s">
        <v>422</v>
      </c>
      <c r="D58" s="8" t="s">
        <v>423</v>
      </c>
      <c r="E58" s="8" t="s">
        <v>29</v>
      </c>
    </row>
    <row r="59" customFormat="false" ht="12.8" hidden="false" customHeight="false" outlineLevel="0" collapsed="false">
      <c r="A59" s="1" t="n">
        <f aca="false">ROW()-51</f>
        <v>8</v>
      </c>
      <c r="B59" s="8" t="s">
        <v>516</v>
      </c>
      <c r="C59" s="8" t="s">
        <v>427</v>
      </c>
      <c r="D59" s="8" t="s">
        <v>428</v>
      </c>
      <c r="E59" s="8" t="s">
        <v>14</v>
      </c>
    </row>
    <row r="60" customFormat="false" ht="12.8" hidden="false" customHeight="false" outlineLevel="0" collapsed="false">
      <c r="A60" s="1" t="n">
        <f aca="false">ROW()-51</f>
        <v>9</v>
      </c>
      <c r="B60" s="8" t="s">
        <v>516</v>
      </c>
      <c r="C60" s="8" t="s">
        <v>429</v>
      </c>
      <c r="D60" s="8" t="s">
        <v>430</v>
      </c>
      <c r="E60" s="8" t="s">
        <v>29</v>
      </c>
    </row>
    <row r="61" customFormat="false" ht="12.8" hidden="false" customHeight="false" outlineLevel="0" collapsed="false">
      <c r="A61" s="1" t="n">
        <f aca="false">ROW()-51</f>
        <v>10</v>
      </c>
      <c r="B61" s="8" t="s">
        <v>516</v>
      </c>
      <c r="C61" s="8" t="s">
        <v>32</v>
      </c>
      <c r="D61" s="8" t="s">
        <v>433</v>
      </c>
      <c r="E61" s="8" t="s">
        <v>29</v>
      </c>
    </row>
    <row r="62" customFormat="false" ht="12.8" hidden="false" customHeight="false" outlineLevel="0" collapsed="false">
      <c r="A62" s="1" t="n">
        <f aca="false">ROW()-51</f>
        <v>11</v>
      </c>
      <c r="B62" s="8" t="s">
        <v>436</v>
      </c>
      <c r="C62" s="8" t="s">
        <v>437</v>
      </c>
      <c r="D62" s="8" t="s">
        <v>438</v>
      </c>
      <c r="E62" s="8" t="s">
        <v>14</v>
      </c>
    </row>
    <row r="63" customFormat="false" ht="12.8" hidden="false" customHeight="false" outlineLevel="0" collapsed="false">
      <c r="A63" s="1" t="n">
        <f aca="false">ROW()-51</f>
        <v>12</v>
      </c>
      <c r="B63" s="8" t="s">
        <v>436</v>
      </c>
      <c r="C63" s="8" t="s">
        <v>439</v>
      </c>
      <c r="D63" s="8" t="s">
        <v>440</v>
      </c>
      <c r="E63" s="8" t="s">
        <v>14</v>
      </c>
    </row>
    <row r="64" customFormat="false" ht="12.8" hidden="false" customHeight="false" outlineLevel="0" collapsed="false">
      <c r="A64" s="1" t="n">
        <f aca="false">ROW()-51</f>
        <v>13</v>
      </c>
      <c r="B64" s="8" t="s">
        <v>436</v>
      </c>
      <c r="C64" s="8" t="s">
        <v>441</v>
      </c>
      <c r="D64" s="8" t="s">
        <v>442</v>
      </c>
      <c r="E64" s="8" t="s">
        <v>14</v>
      </c>
    </row>
    <row r="65" customFormat="false" ht="12.8" hidden="false" customHeight="false" outlineLevel="0" collapsed="false">
      <c r="A65" s="1" t="n">
        <f aca="false">ROW()-51</f>
        <v>14</v>
      </c>
      <c r="B65" s="8" t="s">
        <v>436</v>
      </c>
      <c r="C65" s="8" t="s">
        <v>443</v>
      </c>
      <c r="D65" s="8" t="s">
        <v>444</v>
      </c>
      <c r="E65" s="8" t="s">
        <v>14</v>
      </c>
    </row>
    <row r="66" customFormat="false" ht="12.8" hidden="false" customHeight="false" outlineLevel="0" collapsed="false">
      <c r="A66" s="1" t="n">
        <f aca="false">ROW()-51</f>
        <v>15</v>
      </c>
      <c r="B66" s="8" t="s">
        <v>436</v>
      </c>
      <c r="C66" s="8" t="s">
        <v>445</v>
      </c>
      <c r="D66" s="8" t="s">
        <v>446</v>
      </c>
      <c r="E66" s="8" t="s">
        <v>29</v>
      </c>
    </row>
    <row r="67" customFormat="false" ht="12.8" hidden="false" customHeight="false" outlineLevel="0" collapsed="false">
      <c r="A67" s="1" t="n">
        <f aca="false">ROW()-51</f>
        <v>16</v>
      </c>
      <c r="B67" s="8" t="s">
        <v>447</v>
      </c>
      <c r="C67" s="8" t="s">
        <v>448</v>
      </c>
      <c r="D67" s="8" t="s">
        <v>449</v>
      </c>
      <c r="E67" s="8" t="s">
        <v>14</v>
      </c>
    </row>
    <row r="68" customFormat="false" ht="12.8" hidden="false" customHeight="false" outlineLevel="0" collapsed="false">
      <c r="A68" s="1" t="n">
        <f aca="false">ROW()-51</f>
        <v>17</v>
      </c>
      <c r="B68" s="8" t="s">
        <v>447</v>
      </c>
      <c r="C68" s="8" t="s">
        <v>450</v>
      </c>
      <c r="D68" s="8" t="s">
        <v>451</v>
      </c>
      <c r="E68" s="8" t="s">
        <v>29</v>
      </c>
    </row>
    <row r="69" customFormat="false" ht="12.8" hidden="false" customHeight="false" outlineLevel="0" collapsed="false">
      <c r="A69" s="1" t="n">
        <f aca="false">ROW()-51</f>
        <v>18</v>
      </c>
      <c r="B69" s="8" t="s">
        <v>447</v>
      </c>
      <c r="C69" s="8" t="s">
        <v>452</v>
      </c>
      <c r="D69" s="8" t="s">
        <v>453</v>
      </c>
      <c r="E69" s="8" t="s">
        <v>29</v>
      </c>
    </row>
    <row r="70" customFormat="false" ht="12.8" hidden="false" customHeight="false" outlineLevel="0" collapsed="false">
      <c r="A70" s="1" t="n">
        <f aca="false">ROW()-51</f>
        <v>19</v>
      </c>
      <c r="B70" s="8" t="s">
        <v>447</v>
      </c>
      <c r="C70" s="8" t="s">
        <v>454</v>
      </c>
      <c r="D70" s="8" t="s">
        <v>455</v>
      </c>
      <c r="E70" s="8" t="s">
        <v>29</v>
      </c>
    </row>
    <row r="71" customFormat="false" ht="12.8" hidden="false" customHeight="false" outlineLevel="0" collapsed="false">
      <c r="A71" s="1" t="n">
        <f aca="false">ROW()-51</f>
        <v>20</v>
      </c>
      <c r="B71" s="8" t="s">
        <v>447</v>
      </c>
      <c r="C71" s="8" t="s">
        <v>518</v>
      </c>
      <c r="D71" s="8" t="s">
        <v>519</v>
      </c>
      <c r="E71" s="8" t="s">
        <v>14</v>
      </c>
    </row>
    <row r="72" customFormat="false" ht="12.8" hidden="false" customHeight="false" outlineLevel="0" collapsed="false">
      <c r="A72" s="1" t="n">
        <f aca="false">ROW()-51</f>
        <v>21</v>
      </c>
      <c r="B72" s="8" t="s">
        <v>520</v>
      </c>
      <c r="C72" s="8" t="s">
        <v>457</v>
      </c>
      <c r="D72" s="8" t="s">
        <v>458</v>
      </c>
      <c r="E72" s="8" t="s">
        <v>14</v>
      </c>
    </row>
    <row r="73" customFormat="false" ht="12.8" hidden="false" customHeight="false" outlineLevel="0" collapsed="false">
      <c r="A73" s="1" t="n">
        <f aca="false">ROW()-51</f>
        <v>22</v>
      </c>
      <c r="B73" s="8" t="s">
        <v>520</v>
      </c>
      <c r="C73" s="8" t="s">
        <v>459</v>
      </c>
      <c r="D73" s="8" t="s">
        <v>460</v>
      </c>
      <c r="E73" s="8" t="s">
        <v>14</v>
      </c>
    </row>
    <row r="74" customFormat="false" ht="12.8" hidden="false" customHeight="false" outlineLevel="0" collapsed="false">
      <c r="A74" s="1" t="n">
        <f aca="false">ROW()-51</f>
        <v>23</v>
      </c>
      <c r="B74" s="8" t="s">
        <v>520</v>
      </c>
      <c r="C74" s="8" t="s">
        <v>461</v>
      </c>
      <c r="D74" s="8" t="s">
        <v>462</v>
      </c>
      <c r="E74" s="8" t="s">
        <v>29</v>
      </c>
    </row>
    <row r="75" customFormat="false" ht="12.8" hidden="false" customHeight="false" outlineLevel="0" collapsed="false">
      <c r="A75" s="1" t="n">
        <f aca="false">ROW()-51</f>
        <v>24</v>
      </c>
      <c r="B75" s="8" t="s">
        <v>520</v>
      </c>
      <c r="C75" s="8" t="s">
        <v>463</v>
      </c>
      <c r="D75" s="8" t="s">
        <v>464</v>
      </c>
      <c r="E75" s="8" t="s">
        <v>14</v>
      </c>
    </row>
    <row r="76" customFormat="false" ht="12.8" hidden="false" customHeight="false" outlineLevel="0" collapsed="false">
      <c r="A76" s="1" t="n">
        <f aca="false">ROW()-51</f>
        <v>25</v>
      </c>
      <c r="B76" s="8" t="s">
        <v>520</v>
      </c>
      <c r="C76" s="8" t="s">
        <v>465</v>
      </c>
      <c r="D76" s="8" t="s">
        <v>466</v>
      </c>
      <c r="E76" s="8" t="s">
        <v>467</v>
      </c>
    </row>
    <row r="77" customFormat="false" ht="12.8" hidden="false" customHeight="false" outlineLevel="0" collapsed="false">
      <c r="A77" s="1" t="n">
        <f aca="false">ROW()-51</f>
        <v>26</v>
      </c>
      <c r="B77" s="8" t="s">
        <v>520</v>
      </c>
      <c r="C77" s="8" t="s">
        <v>469</v>
      </c>
      <c r="D77" s="8" t="s">
        <v>470</v>
      </c>
      <c r="E77" s="8" t="s">
        <v>467</v>
      </c>
    </row>
    <row r="78" customFormat="false" ht="12.8" hidden="false" customHeight="false" outlineLevel="0" collapsed="false">
      <c r="A78" s="1" t="n">
        <f aca="false">ROW()-51</f>
        <v>27</v>
      </c>
      <c r="B78" s="8" t="s">
        <v>520</v>
      </c>
      <c r="C78" s="8" t="s">
        <v>471</v>
      </c>
      <c r="D78" s="8" t="s">
        <v>472</v>
      </c>
      <c r="E78" s="8" t="s">
        <v>29</v>
      </c>
    </row>
    <row r="79" customFormat="false" ht="12.8" hidden="false" customHeight="false" outlineLevel="0" collapsed="false">
      <c r="A79" s="1" t="n">
        <f aca="false">ROW()-51</f>
        <v>28</v>
      </c>
      <c r="B79" s="8" t="s">
        <v>520</v>
      </c>
      <c r="C79" s="8" t="s">
        <v>521</v>
      </c>
      <c r="D79" s="8" t="s">
        <v>522</v>
      </c>
      <c r="E79" s="8" t="s">
        <v>29</v>
      </c>
    </row>
    <row r="80" customFormat="false" ht="12.8" hidden="false" customHeight="false" outlineLevel="0" collapsed="false">
      <c r="A80" s="1" t="n">
        <f aca="false">ROW()-51</f>
        <v>29</v>
      </c>
      <c r="B80" s="8" t="s">
        <v>473</v>
      </c>
      <c r="C80" s="8" t="s">
        <v>474</v>
      </c>
      <c r="D80" s="8" t="s">
        <v>475</v>
      </c>
      <c r="E80" s="8" t="s">
        <v>29</v>
      </c>
    </row>
    <row r="81" customFormat="false" ht="12.8" hidden="false" customHeight="false" outlineLevel="0" collapsed="false">
      <c r="A81" s="1" t="n">
        <f aca="false">ROW()-51</f>
        <v>30</v>
      </c>
      <c r="B81" s="8" t="s">
        <v>473</v>
      </c>
      <c r="C81" s="8" t="s">
        <v>476</v>
      </c>
      <c r="D81" s="8" t="s">
        <v>477</v>
      </c>
      <c r="E81" s="8" t="s">
        <v>29</v>
      </c>
    </row>
    <row r="82" customFormat="false" ht="12.8" hidden="false" customHeight="false" outlineLevel="0" collapsed="false">
      <c r="A82" s="1" t="n">
        <f aca="false">ROW()-51</f>
        <v>31</v>
      </c>
      <c r="B82" s="8" t="s">
        <v>473</v>
      </c>
      <c r="C82" s="8" t="s">
        <v>478</v>
      </c>
      <c r="D82" s="8" t="s">
        <v>479</v>
      </c>
      <c r="E82" s="8" t="s">
        <v>29</v>
      </c>
    </row>
    <row r="83" customFormat="false" ht="12.8" hidden="false" customHeight="false" outlineLevel="0" collapsed="false">
      <c r="A83" s="1" t="n">
        <f aca="false">ROW()-51</f>
        <v>32</v>
      </c>
      <c r="B83" s="8" t="s">
        <v>473</v>
      </c>
      <c r="C83" s="8" t="s">
        <v>480</v>
      </c>
      <c r="D83" s="8" t="s">
        <v>481</v>
      </c>
      <c r="E83" s="8" t="s">
        <v>29</v>
      </c>
    </row>
    <row r="84" customFormat="false" ht="12.8" hidden="false" customHeight="false" outlineLevel="0" collapsed="false">
      <c r="A84" s="1" t="n">
        <f aca="false">ROW()-51</f>
        <v>33</v>
      </c>
      <c r="B84" s="8" t="s">
        <v>473</v>
      </c>
      <c r="C84" s="8" t="s">
        <v>523</v>
      </c>
      <c r="D84" s="8" t="s">
        <v>524</v>
      </c>
      <c r="E84" s="8" t="s">
        <v>467</v>
      </c>
    </row>
    <row r="85" customFormat="false" ht="12.8" hidden="false" customHeight="false" outlineLevel="0" collapsed="false">
      <c r="A85" s="1" t="n">
        <f aca="false">ROW()-51</f>
        <v>34</v>
      </c>
      <c r="B85" s="8" t="s">
        <v>473</v>
      </c>
      <c r="C85" s="8" t="s">
        <v>525</v>
      </c>
      <c r="D85" s="8" t="s">
        <v>526</v>
      </c>
      <c r="E85" s="8" t="s">
        <v>29</v>
      </c>
    </row>
    <row r="86" customFormat="false" ht="12.8" hidden="false" customHeight="false" outlineLevel="0" collapsed="false">
      <c r="A86" s="1" t="n">
        <f aca="false">ROW()-51</f>
        <v>35</v>
      </c>
      <c r="B86" s="8" t="s">
        <v>527</v>
      </c>
      <c r="C86" s="8" t="s">
        <v>483</v>
      </c>
      <c r="D86" s="8" t="s">
        <v>484</v>
      </c>
      <c r="E86" s="8" t="s">
        <v>14</v>
      </c>
    </row>
    <row r="87" customFormat="false" ht="12.8" hidden="false" customHeight="false" outlineLevel="0" collapsed="false">
      <c r="A87" s="1" t="n">
        <f aca="false">ROW()-51</f>
        <v>36</v>
      </c>
      <c r="B87" s="8" t="s">
        <v>527</v>
      </c>
      <c r="C87" s="8" t="s">
        <v>485</v>
      </c>
      <c r="D87" s="8" t="s">
        <v>486</v>
      </c>
      <c r="E87" s="8" t="s">
        <v>29</v>
      </c>
    </row>
    <row r="88" customFormat="false" ht="12.8" hidden="false" customHeight="false" outlineLevel="0" collapsed="false">
      <c r="A88" s="1" t="n">
        <f aca="false">ROW()-51</f>
        <v>37</v>
      </c>
      <c r="B88" s="8" t="s">
        <v>527</v>
      </c>
      <c r="C88" s="8" t="s">
        <v>487</v>
      </c>
      <c r="D88" s="8" t="s">
        <v>488</v>
      </c>
      <c r="E88" s="8" t="s">
        <v>29</v>
      </c>
    </row>
    <row r="89" customFormat="false" ht="12.8" hidden="false" customHeight="false" outlineLevel="0" collapsed="false">
      <c r="A89" s="1" t="n">
        <f aca="false">ROW()-51</f>
        <v>38</v>
      </c>
      <c r="B89" s="8" t="s">
        <v>527</v>
      </c>
      <c r="C89" s="8" t="s">
        <v>489</v>
      </c>
      <c r="D89" s="8" t="s">
        <v>490</v>
      </c>
      <c r="E89" s="8" t="s">
        <v>29</v>
      </c>
    </row>
    <row r="90" customFormat="false" ht="12.8" hidden="false" customHeight="false" outlineLevel="0" collapsed="false">
      <c r="A90" s="1" t="n">
        <f aca="false">ROW()-51</f>
        <v>39</v>
      </c>
      <c r="B90" s="8" t="s">
        <v>527</v>
      </c>
      <c r="C90" s="8" t="s">
        <v>491</v>
      </c>
      <c r="D90" s="8" t="s">
        <v>492</v>
      </c>
      <c r="E90" s="8" t="s">
        <v>29</v>
      </c>
    </row>
    <row r="91" customFormat="false" ht="12.8" hidden="false" customHeight="false" outlineLevel="0" collapsed="false">
      <c r="A91" s="1" t="n">
        <f aca="false">ROW()-51</f>
        <v>40</v>
      </c>
      <c r="B91" s="8" t="s">
        <v>527</v>
      </c>
      <c r="C91" s="8" t="s">
        <v>510</v>
      </c>
      <c r="D91" s="8" t="s">
        <v>511</v>
      </c>
      <c r="E91" s="8" t="s">
        <v>29</v>
      </c>
    </row>
    <row r="92" customFormat="false" ht="12.8" hidden="false" customHeight="false" outlineLevel="0" collapsed="false">
      <c r="A92" s="1" t="n">
        <f aca="false">ROW()-51</f>
        <v>41</v>
      </c>
      <c r="B92" s="8" t="s">
        <v>527</v>
      </c>
      <c r="C92" s="8" t="s">
        <v>512</v>
      </c>
      <c r="D92" s="8" t="s">
        <v>513</v>
      </c>
      <c r="E92" s="8" t="s">
        <v>29</v>
      </c>
    </row>
    <row r="93" customFormat="false" ht="12.8" hidden="false" customHeight="false" outlineLevel="0" collapsed="false">
      <c r="A93" s="1" t="n">
        <f aca="false">ROW()-51</f>
        <v>42</v>
      </c>
      <c r="B93" s="8" t="s">
        <v>527</v>
      </c>
      <c r="C93" s="8" t="s">
        <v>514</v>
      </c>
      <c r="D93" s="8" t="s">
        <v>515</v>
      </c>
      <c r="E93" s="8" t="s">
        <v>29</v>
      </c>
    </row>
    <row r="94" customFormat="false" ht="12.8" hidden="false" customHeight="false" outlineLevel="0" collapsed="false">
      <c r="A94" s="1" t="n">
        <f aca="false">ROW()-51</f>
        <v>43</v>
      </c>
      <c r="B94" s="8" t="s">
        <v>527</v>
      </c>
      <c r="C94" s="8" t="s">
        <v>528</v>
      </c>
      <c r="D94" s="8" t="s">
        <v>529</v>
      </c>
      <c r="E94" s="8" t="s">
        <v>29</v>
      </c>
    </row>
    <row r="95" customFormat="false" ht="12.8" hidden="false" customHeight="false" outlineLevel="0" collapsed="false">
      <c r="A95" s="1" t="n">
        <f aca="false">ROW()-51</f>
        <v>44</v>
      </c>
      <c r="B95" s="8" t="s">
        <v>527</v>
      </c>
      <c r="C95" s="8" t="s">
        <v>530</v>
      </c>
      <c r="D95" s="8" t="s">
        <v>531</v>
      </c>
      <c r="E95" s="8" t="s">
        <v>29</v>
      </c>
    </row>
    <row r="96" customFormat="false" ht="12.8" hidden="false" customHeight="false" outlineLevel="0" collapsed="false">
      <c r="A96" s="1" t="n">
        <f aca="false">ROW()-51</f>
        <v>45</v>
      </c>
      <c r="B96" s="8" t="s">
        <v>532</v>
      </c>
      <c r="C96" s="8" t="s">
        <v>533</v>
      </c>
      <c r="D96" s="8" t="s">
        <v>494</v>
      </c>
      <c r="E96" s="8" t="s">
        <v>495</v>
      </c>
      <c r="F96" s="8" t="s">
        <v>29</v>
      </c>
    </row>
    <row r="97" customFormat="false" ht="12.8" hidden="false" customHeight="false" outlineLevel="0" collapsed="false">
      <c r="A97" s="1" t="n">
        <f aca="false">ROW()-51</f>
        <v>46</v>
      </c>
      <c r="B97" s="8" t="s">
        <v>532</v>
      </c>
      <c r="C97" s="8" t="s">
        <v>533</v>
      </c>
      <c r="D97" s="8" t="s">
        <v>496</v>
      </c>
      <c r="E97" s="8" t="s">
        <v>497</v>
      </c>
      <c r="F97" s="8" t="s">
        <v>29</v>
      </c>
    </row>
    <row r="98" customFormat="false" ht="12.8" hidden="false" customHeight="false" outlineLevel="0" collapsed="false">
      <c r="A98" s="1" t="n">
        <f aca="false">ROW()-51</f>
        <v>47</v>
      </c>
      <c r="B98" s="8" t="s">
        <v>532</v>
      </c>
      <c r="C98" s="8" t="s">
        <v>533</v>
      </c>
      <c r="D98" s="8" t="s">
        <v>498</v>
      </c>
      <c r="E98" s="8" t="s">
        <v>499</v>
      </c>
      <c r="F98" s="8" t="s">
        <v>29</v>
      </c>
    </row>
    <row r="99" customFormat="false" ht="12.8" hidden="false" customHeight="false" outlineLevel="0" collapsed="false">
      <c r="A99" s="1" t="n">
        <f aca="false">ROW()-51</f>
        <v>48</v>
      </c>
      <c r="B99" s="8" t="s">
        <v>532</v>
      </c>
      <c r="C99" s="8" t="s">
        <v>533</v>
      </c>
      <c r="D99" s="8" t="s">
        <v>500</v>
      </c>
      <c r="E99" s="8" t="s">
        <v>501</v>
      </c>
      <c r="F99" s="8" t="s">
        <v>467</v>
      </c>
    </row>
    <row r="100" customFormat="false" ht="12.8" hidden="false" customHeight="false" outlineLevel="0" collapsed="false">
      <c r="A100" s="1" t="n">
        <f aca="false">ROW()-51</f>
        <v>49</v>
      </c>
      <c r="B100" s="8" t="s">
        <v>532</v>
      </c>
      <c r="C100" s="8" t="s">
        <v>533</v>
      </c>
      <c r="D100" s="8" t="s">
        <v>503</v>
      </c>
      <c r="E100" s="8" t="s">
        <v>504</v>
      </c>
      <c r="F100" s="8" t="s">
        <v>14</v>
      </c>
    </row>
    <row r="101" customFormat="false" ht="12.8" hidden="false" customHeight="false" outlineLevel="0" collapsed="false">
      <c r="A101" s="1" t="n">
        <f aca="false">ROW()-51</f>
        <v>50</v>
      </c>
      <c r="B101" s="8" t="s">
        <v>532</v>
      </c>
      <c r="C101" s="8" t="s">
        <v>533</v>
      </c>
      <c r="D101" s="8" t="s">
        <v>505</v>
      </c>
      <c r="E101" s="8" t="s">
        <v>506</v>
      </c>
      <c r="F101" s="8" t="s">
        <v>14</v>
      </c>
    </row>
    <row r="106" customFormat="false" ht="15" hidden="false" customHeight="false" outlineLevel="0" collapsed="false">
      <c r="A106" s="9" t="s">
        <v>1</v>
      </c>
      <c r="B106" s="9" t="s">
        <v>534</v>
      </c>
      <c r="C106" s="9" t="s">
        <v>535</v>
      </c>
      <c r="D106" s="9" t="s">
        <v>536</v>
      </c>
      <c r="E106" s="9" t="s">
        <v>537</v>
      </c>
      <c r="F106" s="9" t="s">
        <v>3</v>
      </c>
      <c r="G106" s="9" t="s">
        <v>538</v>
      </c>
      <c r="H106" s="9"/>
    </row>
    <row r="107" customFormat="false" ht="12.8" hidden="false" customHeight="false" outlineLevel="0" collapsed="false">
      <c r="A107" s="1" t="n">
        <f aca="false">ROW()-106</f>
        <v>1</v>
      </c>
      <c r="B107" s="8" t="s">
        <v>539</v>
      </c>
      <c r="C107" s="8" t="s">
        <v>540</v>
      </c>
      <c r="D107" s="8" t="s">
        <v>541</v>
      </c>
      <c r="E107" s="8" t="s">
        <v>542</v>
      </c>
      <c r="F107" s="8" t="s">
        <v>14</v>
      </c>
      <c r="G107" s="8" t="s">
        <v>543</v>
      </c>
    </row>
    <row r="108" customFormat="false" ht="12.8" hidden="false" customHeight="false" outlineLevel="0" collapsed="false">
      <c r="A108" s="1" t="n">
        <f aca="false">ROW()-106</f>
        <v>2</v>
      </c>
      <c r="B108" s="8" t="s">
        <v>539</v>
      </c>
      <c r="D108" s="8" t="s">
        <v>544</v>
      </c>
      <c r="E108" s="8" t="s">
        <v>545</v>
      </c>
      <c r="F108" s="8" t="s">
        <v>14</v>
      </c>
      <c r="G108" s="8" t="s">
        <v>546</v>
      </c>
    </row>
    <row r="109" customFormat="false" ht="12.8" hidden="false" customHeight="false" outlineLevel="0" collapsed="false">
      <c r="A109" s="1" t="n">
        <f aca="false">ROW()-106</f>
        <v>3</v>
      </c>
      <c r="B109" s="8" t="s">
        <v>539</v>
      </c>
      <c r="D109" s="8" t="s">
        <v>547</v>
      </c>
      <c r="E109" s="8" t="s">
        <v>548</v>
      </c>
      <c r="F109" s="8" t="s">
        <v>14</v>
      </c>
      <c r="G109" s="8" t="s">
        <v>549</v>
      </c>
    </row>
    <row r="110" customFormat="false" ht="12.8" hidden="false" customHeight="false" outlineLevel="0" collapsed="false">
      <c r="A110" s="1" t="n">
        <f aca="false">ROW()-106</f>
        <v>4</v>
      </c>
      <c r="B110" s="8" t="s">
        <v>539</v>
      </c>
      <c r="D110" s="8" t="s">
        <v>441</v>
      </c>
      <c r="E110" s="8" t="s">
        <v>442</v>
      </c>
      <c r="F110" s="8" t="s">
        <v>14</v>
      </c>
      <c r="G110" s="8" t="s">
        <v>550</v>
      </c>
    </row>
    <row r="111" customFormat="false" ht="12.8" hidden="false" customHeight="false" outlineLevel="0" collapsed="false">
      <c r="A111" s="1" t="n">
        <f aca="false">ROW()-106</f>
        <v>5</v>
      </c>
      <c r="B111" s="8" t="s">
        <v>551</v>
      </c>
      <c r="C111" s="8" t="s">
        <v>552</v>
      </c>
      <c r="D111" s="8" t="s">
        <v>429</v>
      </c>
      <c r="E111" s="8" t="s">
        <v>430</v>
      </c>
      <c r="F111" s="8" t="s">
        <v>29</v>
      </c>
      <c r="G111" s="8" t="s">
        <v>553</v>
      </c>
    </row>
    <row r="112" customFormat="false" ht="12.8" hidden="false" customHeight="false" outlineLevel="0" collapsed="false">
      <c r="A112" s="1" t="n">
        <f aca="false">ROW()-106</f>
        <v>6</v>
      </c>
      <c r="B112" s="8" t="s">
        <v>551</v>
      </c>
      <c r="D112" s="8" t="s">
        <v>422</v>
      </c>
      <c r="E112" s="8" t="s">
        <v>423</v>
      </c>
      <c r="F112" s="8" t="s">
        <v>29</v>
      </c>
      <c r="G112" s="8" t="s">
        <v>554</v>
      </c>
      <c r="H112" s="8" t="s">
        <v>555</v>
      </c>
    </row>
    <row r="113" customFormat="false" ht="12.8" hidden="false" customHeight="false" outlineLevel="0" collapsed="false">
      <c r="A113" s="1" t="n">
        <f aca="false">ROW()-106</f>
        <v>7</v>
      </c>
      <c r="B113" s="8" t="s">
        <v>551</v>
      </c>
      <c r="D113" s="8" t="s">
        <v>556</v>
      </c>
      <c r="E113" s="8" t="s">
        <v>557</v>
      </c>
      <c r="F113" s="8" t="s">
        <v>29</v>
      </c>
      <c r="G113" s="8" t="s">
        <v>558</v>
      </c>
    </row>
    <row r="114" customFormat="false" ht="12.8" hidden="false" customHeight="false" outlineLevel="0" collapsed="false">
      <c r="A114" s="1" t="n">
        <f aca="false">ROW()-106</f>
        <v>8</v>
      </c>
      <c r="B114" s="8" t="s">
        <v>559</v>
      </c>
      <c r="C114" s="8" t="s">
        <v>560</v>
      </c>
      <c r="D114" s="8" t="s">
        <v>441</v>
      </c>
      <c r="E114" s="8" t="s">
        <v>442</v>
      </c>
      <c r="F114" s="8" t="s">
        <v>14</v>
      </c>
      <c r="G114" s="8" t="s">
        <v>550</v>
      </c>
    </row>
    <row r="115" customFormat="false" ht="12.8" hidden="false" customHeight="false" outlineLevel="0" collapsed="false">
      <c r="A115" s="1" t="n">
        <f aca="false">ROW()-106</f>
        <v>9</v>
      </c>
      <c r="B115" s="8" t="s">
        <v>559</v>
      </c>
      <c r="D115" s="8" t="s">
        <v>424</v>
      </c>
      <c r="E115" s="8" t="s">
        <v>425</v>
      </c>
      <c r="F115" s="8" t="s">
        <v>29</v>
      </c>
      <c r="G115" s="8" t="s">
        <v>561</v>
      </c>
    </row>
    <row r="116" customFormat="false" ht="12.8" hidden="false" customHeight="false" outlineLevel="0" collapsed="false">
      <c r="A116" s="1" t="n">
        <f aca="false">ROW()-106</f>
        <v>10</v>
      </c>
      <c r="B116" s="8" t="s">
        <v>559</v>
      </c>
      <c r="D116" s="8" t="s">
        <v>562</v>
      </c>
      <c r="E116" s="8" t="s">
        <v>563</v>
      </c>
      <c r="F116" s="8" t="s">
        <v>29</v>
      </c>
      <c r="G116" s="8" t="s">
        <v>564</v>
      </c>
    </row>
    <row r="117" customFormat="false" ht="12.8" hidden="false" customHeight="false" outlineLevel="0" collapsed="false">
      <c r="A117" s="1" t="n">
        <f aca="false">ROW()-106</f>
        <v>11</v>
      </c>
      <c r="B117" s="8" t="s">
        <v>565</v>
      </c>
      <c r="C117" s="8" t="s">
        <v>566</v>
      </c>
      <c r="D117" s="8" t="s">
        <v>422</v>
      </c>
      <c r="E117" s="8" t="s">
        <v>423</v>
      </c>
      <c r="F117" s="8" t="s">
        <v>29</v>
      </c>
      <c r="G117" s="8" t="s">
        <v>567</v>
      </c>
    </row>
    <row r="118" customFormat="false" ht="12.8" hidden="false" customHeight="false" outlineLevel="0" collapsed="false">
      <c r="A118" s="1" t="n">
        <f aca="false">ROW()-106</f>
        <v>12</v>
      </c>
      <c r="B118" s="8" t="s">
        <v>565</v>
      </c>
      <c r="D118" s="8" t="s">
        <v>568</v>
      </c>
      <c r="E118" s="8" t="s">
        <v>569</v>
      </c>
      <c r="F118" s="8" t="s">
        <v>14</v>
      </c>
      <c r="G118" s="8" t="s">
        <v>570</v>
      </c>
    </row>
    <row r="119" customFormat="false" ht="12.8" hidden="false" customHeight="false" outlineLevel="0" collapsed="false">
      <c r="A119" s="1" t="n">
        <f aca="false">ROW()-106</f>
        <v>13</v>
      </c>
      <c r="B119" s="8" t="s">
        <v>565</v>
      </c>
      <c r="D119" s="8" t="s">
        <v>571</v>
      </c>
      <c r="E119" s="8" t="s">
        <v>572</v>
      </c>
      <c r="F119" s="8" t="s">
        <v>14</v>
      </c>
      <c r="G119" s="8" t="s">
        <v>573</v>
      </c>
    </row>
    <row r="120" customFormat="false" ht="12.8" hidden="false" customHeight="false" outlineLevel="0" collapsed="false">
      <c r="A120" s="1" t="n">
        <f aca="false">ROW()-106</f>
        <v>14</v>
      </c>
      <c r="B120" s="8" t="s">
        <v>574</v>
      </c>
      <c r="C120" s="8" t="s">
        <v>575</v>
      </c>
      <c r="D120" s="8" t="s">
        <v>574</v>
      </c>
      <c r="E120" s="8" t="s">
        <v>576</v>
      </c>
      <c r="F120" s="8" t="s">
        <v>14</v>
      </c>
      <c r="G120" s="8" t="s">
        <v>577</v>
      </c>
    </row>
    <row r="121" customFormat="false" ht="12.8" hidden="false" customHeight="false" outlineLevel="0" collapsed="false">
      <c r="A121" s="1" t="n">
        <f aca="false">ROW()-106</f>
        <v>15</v>
      </c>
      <c r="B121" s="8" t="s">
        <v>574</v>
      </c>
      <c r="D121" s="8" t="s">
        <v>578</v>
      </c>
      <c r="E121" s="8" t="s">
        <v>579</v>
      </c>
      <c r="F121" s="8" t="s">
        <v>29</v>
      </c>
      <c r="G121" s="8" t="s">
        <v>580</v>
      </c>
    </row>
    <row r="122" customFormat="false" ht="12.8" hidden="false" customHeight="false" outlineLevel="0" collapsed="false">
      <c r="A122" s="1" t="n">
        <f aca="false">ROW()-106</f>
        <v>16</v>
      </c>
      <c r="B122" s="8" t="s">
        <v>574</v>
      </c>
      <c r="D122" s="8" t="s">
        <v>581</v>
      </c>
      <c r="E122" s="8" t="s">
        <v>582</v>
      </c>
      <c r="F122" s="8" t="s">
        <v>29</v>
      </c>
      <c r="G122" s="8" t="s">
        <v>583</v>
      </c>
    </row>
    <row r="123" customFormat="false" ht="12.8" hidden="false" customHeight="false" outlineLevel="0" collapsed="false">
      <c r="A123" s="1" t="n">
        <f aca="false">ROW()-106</f>
        <v>17</v>
      </c>
      <c r="B123" s="8" t="s">
        <v>584</v>
      </c>
      <c r="C123" s="8" t="s">
        <v>585</v>
      </c>
      <c r="D123" s="8" t="s">
        <v>586</v>
      </c>
      <c r="E123" s="8" t="s">
        <v>587</v>
      </c>
      <c r="F123" s="8" t="s">
        <v>29</v>
      </c>
      <c r="G123" s="8" t="s">
        <v>588</v>
      </c>
    </row>
    <row r="124" customFormat="false" ht="12.8" hidden="false" customHeight="false" outlineLevel="0" collapsed="false">
      <c r="A124" s="1" t="n">
        <f aca="false">ROW()-106</f>
        <v>18</v>
      </c>
      <c r="B124" s="8" t="s">
        <v>584</v>
      </c>
      <c r="D124" s="8" t="s">
        <v>414</v>
      </c>
      <c r="E124" s="8" t="s">
        <v>415</v>
      </c>
      <c r="F124" s="8" t="s">
        <v>29</v>
      </c>
      <c r="G124" s="8" t="s">
        <v>589</v>
      </c>
    </row>
    <row r="125" customFormat="false" ht="12.8" hidden="false" customHeight="false" outlineLevel="0" collapsed="false">
      <c r="A125" s="1" t="n">
        <f aca="false">ROW()-106</f>
        <v>19</v>
      </c>
      <c r="B125" s="8" t="s">
        <v>584</v>
      </c>
      <c r="D125" s="8" t="s">
        <v>590</v>
      </c>
      <c r="E125" s="8" t="s">
        <v>591</v>
      </c>
      <c r="F125" s="8" t="s">
        <v>29</v>
      </c>
      <c r="G125" s="8" t="s">
        <v>592</v>
      </c>
    </row>
    <row r="126" customFormat="false" ht="12.8" hidden="false" customHeight="false" outlineLevel="0" collapsed="false">
      <c r="A126" s="1" t="n">
        <f aca="false">ROW()-106</f>
        <v>20</v>
      </c>
      <c r="B126" s="8" t="s">
        <v>593</v>
      </c>
      <c r="C126" s="8" t="s">
        <v>594</v>
      </c>
      <c r="D126" s="8" t="s">
        <v>595</v>
      </c>
      <c r="E126" s="8" t="s">
        <v>596</v>
      </c>
      <c r="F126" s="8" t="s">
        <v>410</v>
      </c>
      <c r="G126" s="8" t="s">
        <v>411</v>
      </c>
      <c r="H126" s="8" t="s">
        <v>14</v>
      </c>
      <c r="I126" s="8" t="s">
        <v>597</v>
      </c>
    </row>
    <row r="127" customFormat="false" ht="12.8" hidden="false" customHeight="false" outlineLevel="0" collapsed="false">
      <c r="A127" s="1" t="n">
        <f aca="false">ROW()-106</f>
        <v>21</v>
      </c>
      <c r="B127" s="8" t="s">
        <v>593</v>
      </c>
      <c r="D127" s="8" t="s">
        <v>427</v>
      </c>
      <c r="E127" s="8" t="s">
        <v>428</v>
      </c>
      <c r="F127" s="8" t="s">
        <v>14</v>
      </c>
      <c r="G127" s="8" t="s">
        <v>598</v>
      </c>
    </row>
    <row r="128" customFormat="false" ht="12.8" hidden="false" customHeight="false" outlineLevel="0" collapsed="false">
      <c r="A128" s="1" t="n">
        <f aca="false">ROW()-106</f>
        <v>22</v>
      </c>
      <c r="B128" s="8" t="s">
        <v>593</v>
      </c>
      <c r="D128" s="8" t="s">
        <v>32</v>
      </c>
      <c r="E128" s="8" t="s">
        <v>433</v>
      </c>
      <c r="F128" s="8" t="s">
        <v>29</v>
      </c>
      <c r="G128" s="8" t="s">
        <v>599</v>
      </c>
    </row>
    <row r="129" customFormat="false" ht="12.8" hidden="false" customHeight="false" outlineLevel="0" collapsed="false">
      <c r="A129" s="1" t="n">
        <f aca="false">ROW()-106</f>
        <v>23</v>
      </c>
      <c r="B129" s="8" t="s">
        <v>600</v>
      </c>
      <c r="C129" s="8" t="s">
        <v>601</v>
      </c>
      <c r="D129" s="8" t="s">
        <v>602</v>
      </c>
      <c r="E129" s="8" t="s">
        <v>448</v>
      </c>
      <c r="F129" s="8" t="s">
        <v>449</v>
      </c>
      <c r="G129" s="8" t="s">
        <v>14</v>
      </c>
      <c r="H129" s="8" t="s">
        <v>603</v>
      </c>
    </row>
    <row r="130" customFormat="false" ht="12.8" hidden="false" customHeight="false" outlineLevel="0" collapsed="false">
      <c r="A130" s="1" t="n">
        <f aca="false">ROW()-106</f>
        <v>24</v>
      </c>
      <c r="B130" s="8" t="s">
        <v>600</v>
      </c>
      <c r="D130" s="8" t="s">
        <v>452</v>
      </c>
      <c r="E130" s="8" t="s">
        <v>453</v>
      </c>
      <c r="F130" s="8" t="s">
        <v>29</v>
      </c>
      <c r="G130" s="8" t="s">
        <v>604</v>
      </c>
    </row>
    <row r="131" customFormat="false" ht="12.8" hidden="false" customHeight="false" outlineLevel="0" collapsed="false">
      <c r="A131" s="1" t="n">
        <f aca="false">ROW()-106</f>
        <v>25</v>
      </c>
      <c r="B131" s="8" t="s">
        <v>600</v>
      </c>
      <c r="D131" s="8" t="s">
        <v>450</v>
      </c>
      <c r="E131" s="8" t="s">
        <v>451</v>
      </c>
      <c r="F131" s="8" t="s">
        <v>29</v>
      </c>
      <c r="G131" s="8" t="s">
        <v>605</v>
      </c>
    </row>
    <row r="132" customFormat="false" ht="12.8" hidden="false" customHeight="false" outlineLevel="0" collapsed="false">
      <c r="A132" s="1" t="n">
        <f aca="false">ROW()-106</f>
        <v>26</v>
      </c>
      <c r="B132" s="8" t="s">
        <v>606</v>
      </c>
      <c r="C132" s="8" t="s">
        <v>607</v>
      </c>
      <c r="D132" s="8" t="s">
        <v>608</v>
      </c>
      <c r="E132" s="8" t="s">
        <v>609</v>
      </c>
      <c r="F132" s="8" t="s">
        <v>467</v>
      </c>
      <c r="G132" s="8" t="s">
        <v>610</v>
      </c>
    </row>
    <row r="133" customFormat="false" ht="12.8" hidden="false" customHeight="false" outlineLevel="0" collapsed="false">
      <c r="A133" s="1" t="n">
        <f aca="false">ROW()-106</f>
        <v>27</v>
      </c>
      <c r="B133" s="8" t="s">
        <v>606</v>
      </c>
      <c r="D133" s="8" t="s">
        <v>611</v>
      </c>
      <c r="E133" s="8" t="s">
        <v>612</v>
      </c>
      <c r="F133" s="8" t="s">
        <v>29</v>
      </c>
      <c r="G133" s="8" t="s">
        <v>613</v>
      </c>
    </row>
    <row r="134" customFormat="false" ht="12.8" hidden="false" customHeight="false" outlineLevel="0" collapsed="false">
      <c r="A134" s="1" t="n">
        <f aca="false">ROW()-106</f>
        <v>28</v>
      </c>
      <c r="B134" s="8" t="s">
        <v>606</v>
      </c>
      <c r="D134" s="8" t="s">
        <v>518</v>
      </c>
      <c r="E134" s="8" t="s">
        <v>519</v>
      </c>
      <c r="F134" s="8" t="s">
        <v>14</v>
      </c>
      <c r="G134" s="8" t="s">
        <v>614</v>
      </c>
    </row>
    <row r="135" customFormat="false" ht="12.8" hidden="false" customHeight="false" outlineLevel="0" collapsed="false">
      <c r="A135" s="1" t="n">
        <f aca="false">ROW()-106</f>
        <v>29</v>
      </c>
      <c r="B135" s="8" t="s">
        <v>615</v>
      </c>
      <c r="C135" s="8" t="s">
        <v>616</v>
      </c>
      <c r="D135" s="8" t="s">
        <v>457</v>
      </c>
      <c r="E135" s="8" t="s">
        <v>458</v>
      </c>
      <c r="F135" s="8" t="s">
        <v>14</v>
      </c>
      <c r="G135" s="8" t="s">
        <v>617</v>
      </c>
    </row>
    <row r="136" customFormat="false" ht="12.8" hidden="false" customHeight="false" outlineLevel="0" collapsed="false">
      <c r="A136" s="1" t="n">
        <f aca="false">ROW()-106</f>
        <v>30</v>
      </c>
      <c r="B136" s="8" t="s">
        <v>615</v>
      </c>
      <c r="D136" s="8" t="s">
        <v>459</v>
      </c>
      <c r="E136" s="8" t="s">
        <v>460</v>
      </c>
      <c r="F136" s="8" t="s">
        <v>14</v>
      </c>
      <c r="G136" s="8" t="s">
        <v>618</v>
      </c>
    </row>
    <row r="137" customFormat="false" ht="12.8" hidden="false" customHeight="false" outlineLevel="0" collapsed="false">
      <c r="A137" s="1" t="n">
        <f aca="false">ROW()-106</f>
        <v>31</v>
      </c>
      <c r="B137" s="8" t="s">
        <v>615</v>
      </c>
      <c r="D137" s="8" t="s">
        <v>463</v>
      </c>
      <c r="E137" s="8" t="s">
        <v>464</v>
      </c>
      <c r="F137" s="8" t="s">
        <v>14</v>
      </c>
      <c r="G137" s="8" t="s">
        <v>619</v>
      </c>
    </row>
    <row r="138" customFormat="false" ht="12.8" hidden="false" customHeight="false" outlineLevel="0" collapsed="false">
      <c r="A138" s="1" t="n">
        <f aca="false">ROW()-106</f>
        <v>32</v>
      </c>
      <c r="B138" s="8" t="s">
        <v>615</v>
      </c>
      <c r="D138" s="8" t="s">
        <v>465</v>
      </c>
      <c r="E138" s="8" t="s">
        <v>466</v>
      </c>
      <c r="F138" s="8" t="s">
        <v>467</v>
      </c>
      <c r="G138" s="8" t="s">
        <v>620</v>
      </c>
    </row>
    <row r="139" customFormat="false" ht="12.8" hidden="false" customHeight="false" outlineLevel="0" collapsed="false">
      <c r="A139" s="1" t="n">
        <f aca="false">ROW()-106</f>
        <v>33</v>
      </c>
      <c r="B139" s="8" t="s">
        <v>621</v>
      </c>
      <c r="C139" s="8" t="s">
        <v>622</v>
      </c>
      <c r="D139" s="8" t="s">
        <v>623</v>
      </c>
      <c r="E139" s="8" t="s">
        <v>624</v>
      </c>
      <c r="F139" s="8" t="s">
        <v>478</v>
      </c>
      <c r="G139" s="8" t="s">
        <v>479</v>
      </c>
      <c r="H139" s="8" t="s">
        <v>29</v>
      </c>
      <c r="I139" s="8" t="s">
        <v>625</v>
      </c>
    </row>
    <row r="140" customFormat="false" ht="12.8" hidden="false" customHeight="false" outlineLevel="0" collapsed="false">
      <c r="A140" s="1" t="n">
        <f aca="false">ROW()-106</f>
        <v>34</v>
      </c>
      <c r="B140" s="8" t="s">
        <v>621</v>
      </c>
      <c r="D140" s="8" t="s">
        <v>474</v>
      </c>
      <c r="E140" s="8" t="s">
        <v>475</v>
      </c>
      <c r="F140" s="8" t="s">
        <v>29</v>
      </c>
      <c r="G140" s="8" t="s">
        <v>626</v>
      </c>
    </row>
    <row r="141" customFormat="false" ht="12.8" hidden="false" customHeight="false" outlineLevel="0" collapsed="false">
      <c r="A141" s="1" t="n">
        <f aca="false">ROW()-106</f>
        <v>35</v>
      </c>
      <c r="B141" s="8" t="s">
        <v>621</v>
      </c>
      <c r="D141" s="8" t="s">
        <v>627</v>
      </c>
      <c r="E141" s="8" t="s">
        <v>477</v>
      </c>
      <c r="F141" s="8" t="s">
        <v>29</v>
      </c>
      <c r="G141" s="8" t="s">
        <v>628</v>
      </c>
    </row>
    <row r="142" customFormat="false" ht="12.8" hidden="false" customHeight="false" outlineLevel="0" collapsed="false">
      <c r="A142" s="1" t="n">
        <f aca="false">ROW()-106</f>
        <v>36</v>
      </c>
      <c r="B142" s="8" t="s">
        <v>629</v>
      </c>
      <c r="C142" s="8" t="s">
        <v>630</v>
      </c>
      <c r="D142" s="8" t="s">
        <v>631</v>
      </c>
      <c r="E142" s="8" t="s">
        <v>494</v>
      </c>
      <c r="F142" s="8" t="s">
        <v>495</v>
      </c>
      <c r="G142" s="8" t="s">
        <v>29</v>
      </c>
      <c r="H142" s="8" t="s">
        <v>632</v>
      </c>
    </row>
    <row r="143" customFormat="false" ht="12.8" hidden="false" customHeight="false" outlineLevel="0" collapsed="false">
      <c r="A143" s="1" t="n">
        <f aca="false">ROW()-106</f>
        <v>37</v>
      </c>
      <c r="B143" s="8" t="s">
        <v>629</v>
      </c>
      <c r="D143" s="8" t="s">
        <v>496</v>
      </c>
      <c r="E143" s="8" t="s">
        <v>497</v>
      </c>
      <c r="F143" s="8" t="s">
        <v>29</v>
      </c>
      <c r="G143" s="8" t="s">
        <v>633</v>
      </c>
    </row>
    <row r="144" customFormat="false" ht="12.8" hidden="false" customHeight="false" outlineLevel="0" collapsed="false">
      <c r="A144" s="1" t="n">
        <f aca="false">ROW()-106</f>
        <v>38</v>
      </c>
      <c r="B144" s="8" t="s">
        <v>629</v>
      </c>
      <c r="D144" s="8" t="s">
        <v>500</v>
      </c>
      <c r="E144" s="8" t="s">
        <v>501</v>
      </c>
      <c r="F144" s="8" t="s">
        <v>467</v>
      </c>
      <c r="G144" s="8" t="s">
        <v>634</v>
      </c>
    </row>
    <row r="145" customFormat="false" ht="12.8" hidden="false" customHeight="false" outlineLevel="0" collapsed="false">
      <c r="A145" s="1" t="n">
        <f aca="false">ROW()-106</f>
        <v>39</v>
      </c>
      <c r="B145" s="8" t="s">
        <v>635</v>
      </c>
      <c r="C145" s="8" t="s">
        <v>636</v>
      </c>
      <c r="D145" s="8" t="s">
        <v>637</v>
      </c>
      <c r="E145" s="8" t="s">
        <v>638</v>
      </c>
      <c r="F145" s="8" t="s">
        <v>483</v>
      </c>
      <c r="G145" s="8" t="s">
        <v>484</v>
      </c>
      <c r="H145" s="8" t="s">
        <v>14</v>
      </c>
      <c r="I145" s="8" t="s">
        <v>639</v>
      </c>
      <c r="J145" s="8" t="s">
        <v>640</v>
      </c>
    </row>
    <row r="146" customFormat="false" ht="12.8" hidden="false" customHeight="false" outlineLevel="0" collapsed="false">
      <c r="A146" s="1" t="n">
        <f aca="false">ROW()-106</f>
        <v>40</v>
      </c>
      <c r="B146" s="8" t="s">
        <v>635</v>
      </c>
      <c r="D146" s="8" t="s">
        <v>487</v>
      </c>
      <c r="E146" s="8" t="s">
        <v>488</v>
      </c>
      <c r="F146" s="8" t="s">
        <v>29</v>
      </c>
      <c r="G146" s="8" t="s">
        <v>641</v>
      </c>
    </row>
    <row r="147" customFormat="false" ht="12.8" hidden="false" customHeight="false" outlineLevel="0" collapsed="false">
      <c r="A147" s="1" t="n">
        <f aca="false">ROW()-106</f>
        <v>41</v>
      </c>
      <c r="B147" s="8" t="s">
        <v>635</v>
      </c>
      <c r="D147" s="8" t="s">
        <v>485</v>
      </c>
      <c r="E147" s="8" t="s">
        <v>486</v>
      </c>
      <c r="F147" s="8" t="s">
        <v>29</v>
      </c>
      <c r="G147" s="8" t="s">
        <v>642</v>
      </c>
    </row>
    <row r="148" customFormat="false" ht="12.8" hidden="false" customHeight="false" outlineLevel="0" collapsed="false">
      <c r="A148" s="1" t="n">
        <f aca="false">ROW()-106</f>
        <v>42</v>
      </c>
      <c r="B148" s="8" t="s">
        <v>635</v>
      </c>
      <c r="D148" s="8" t="s">
        <v>491</v>
      </c>
      <c r="E148" s="8" t="s">
        <v>492</v>
      </c>
      <c r="F148" s="8" t="s">
        <v>29</v>
      </c>
      <c r="G148" s="8" t="s">
        <v>643</v>
      </c>
    </row>
    <row r="149" customFormat="false" ht="12.8" hidden="false" customHeight="false" outlineLevel="0" collapsed="false">
      <c r="A149" s="1" t="n">
        <f aca="false">ROW()-106</f>
        <v>43</v>
      </c>
      <c r="B149" s="8" t="s">
        <v>635</v>
      </c>
      <c r="D149" s="8" t="s">
        <v>489</v>
      </c>
      <c r="E149" s="8" t="s">
        <v>490</v>
      </c>
      <c r="F149" s="8" t="s">
        <v>29</v>
      </c>
      <c r="G149" s="8" t="s">
        <v>644</v>
      </c>
    </row>
    <row r="150" customFormat="false" ht="12.8" hidden="false" customHeight="false" outlineLevel="0" collapsed="false">
      <c r="A150" s="1" t="n">
        <f aca="false">ROW()-106</f>
        <v>44</v>
      </c>
      <c r="B150" s="8" t="s">
        <v>509</v>
      </c>
      <c r="C150" s="8" t="s">
        <v>645</v>
      </c>
      <c r="D150" s="8" t="s">
        <v>510</v>
      </c>
      <c r="E150" s="8" t="s">
        <v>511</v>
      </c>
      <c r="F150" s="8" t="s">
        <v>29</v>
      </c>
      <c r="G150" s="8" t="s">
        <v>646</v>
      </c>
    </row>
    <row r="151" customFormat="false" ht="12.8" hidden="false" customHeight="false" outlineLevel="0" collapsed="false">
      <c r="A151" s="1" t="n">
        <f aca="false">ROW()-106</f>
        <v>45</v>
      </c>
      <c r="B151" s="8" t="s">
        <v>509</v>
      </c>
      <c r="D151" s="8" t="s">
        <v>512</v>
      </c>
      <c r="E151" s="8" t="s">
        <v>513</v>
      </c>
      <c r="F151" s="8" t="s">
        <v>29</v>
      </c>
      <c r="G151" s="8" t="s">
        <v>647</v>
      </c>
    </row>
    <row r="152" customFormat="false" ht="12.8" hidden="false" customHeight="false" outlineLevel="0" collapsed="false">
      <c r="A152" s="1" t="n">
        <f aca="false">ROW()-106</f>
        <v>46</v>
      </c>
      <c r="B152" s="8" t="s">
        <v>509</v>
      </c>
      <c r="D152" s="8" t="s">
        <v>514</v>
      </c>
      <c r="E152" s="8" t="s">
        <v>515</v>
      </c>
      <c r="F152" s="8" t="s">
        <v>29</v>
      </c>
      <c r="G152" s="8" t="s">
        <v>648</v>
      </c>
    </row>
    <row r="153" customFormat="false" ht="12.8" hidden="false" customHeight="false" outlineLevel="0" collapsed="false">
      <c r="A153" s="1" t="n">
        <f aca="false">ROW()-106</f>
        <v>47</v>
      </c>
      <c r="B153" s="8" t="s">
        <v>649</v>
      </c>
      <c r="C153" s="8" t="s">
        <v>650</v>
      </c>
      <c r="D153" s="8" t="s">
        <v>469</v>
      </c>
      <c r="E153" s="8" t="s">
        <v>470</v>
      </c>
      <c r="F153" s="8" t="s">
        <v>467</v>
      </c>
      <c r="G153" s="8" t="s">
        <v>651</v>
      </c>
    </row>
    <row r="154" customFormat="false" ht="12.8" hidden="false" customHeight="false" outlineLevel="0" collapsed="false">
      <c r="A154" s="1" t="n">
        <f aca="false">ROW()-106</f>
        <v>48</v>
      </c>
      <c r="B154" s="8" t="s">
        <v>649</v>
      </c>
      <c r="D154" s="8" t="s">
        <v>471</v>
      </c>
      <c r="E154" s="8" t="s">
        <v>472</v>
      </c>
      <c r="F154" s="8" t="s">
        <v>29</v>
      </c>
      <c r="G154" s="8" t="s">
        <v>652</v>
      </c>
    </row>
    <row r="155" customFormat="false" ht="12.8" hidden="false" customHeight="false" outlineLevel="0" collapsed="false">
      <c r="A155" s="1" t="n">
        <f aca="false">ROW()-106</f>
        <v>49</v>
      </c>
      <c r="B155" s="8" t="s">
        <v>649</v>
      </c>
      <c r="D155" s="8" t="s">
        <v>521</v>
      </c>
      <c r="E155" s="8" t="s">
        <v>522</v>
      </c>
      <c r="F155" s="8" t="s">
        <v>29</v>
      </c>
      <c r="G155" s="8" t="s">
        <v>653</v>
      </c>
    </row>
    <row r="156" customFormat="false" ht="12.8" hidden="false" customHeight="false" outlineLevel="0" collapsed="false">
      <c r="A156" s="1" t="n">
        <f aca="false">ROW()-106</f>
        <v>50</v>
      </c>
      <c r="B156" s="8" t="s">
        <v>502</v>
      </c>
      <c r="C156" s="8" t="s">
        <v>654</v>
      </c>
      <c r="D156" s="8" t="s">
        <v>503</v>
      </c>
      <c r="E156" s="8" t="s">
        <v>504</v>
      </c>
      <c r="F156" s="8" t="s">
        <v>14</v>
      </c>
      <c r="G156" s="8" t="s">
        <v>655</v>
      </c>
    </row>
    <row r="157" customFormat="false" ht="12.8" hidden="false" customHeight="false" outlineLevel="0" collapsed="false">
      <c r="A157" s="1" t="n">
        <f aca="false">ROW()-106</f>
        <v>51</v>
      </c>
      <c r="B157" s="8" t="s">
        <v>502</v>
      </c>
      <c r="D157" s="8" t="s">
        <v>505</v>
      </c>
      <c r="E157" s="8" t="s">
        <v>506</v>
      </c>
      <c r="F157" s="8" t="s">
        <v>14</v>
      </c>
      <c r="G157" s="8" t="s">
        <v>656</v>
      </c>
    </row>
    <row r="158" customFormat="false" ht="12.8" hidden="false" customHeight="false" outlineLevel="0" collapsed="false">
      <c r="A158" s="1" t="n">
        <f aca="false">ROW()-106</f>
        <v>52</v>
      </c>
      <c r="B158" s="8" t="s">
        <v>502</v>
      </c>
      <c r="D158" s="8" t="s">
        <v>507</v>
      </c>
      <c r="E158" s="8" t="s">
        <v>508</v>
      </c>
      <c r="F158" s="8" t="s">
        <v>14</v>
      </c>
      <c r="G158" s="8" t="s">
        <v>657</v>
      </c>
    </row>
    <row r="159" customFormat="false" ht="12.8" hidden="false" customHeight="false" outlineLevel="0" collapsed="false">
      <c r="A159" s="1" t="n">
        <f aca="false">ROW()-106</f>
        <v>53</v>
      </c>
      <c r="B159" s="8" t="s">
        <v>658</v>
      </c>
      <c r="C159" s="8" t="s">
        <v>659</v>
      </c>
      <c r="D159" s="8" t="s">
        <v>660</v>
      </c>
      <c r="E159" s="8" t="s">
        <v>480</v>
      </c>
      <c r="F159" s="8" t="s">
        <v>481</v>
      </c>
      <c r="G159" s="8" t="s">
        <v>29</v>
      </c>
      <c r="H159" s="8" t="s">
        <v>661</v>
      </c>
    </row>
    <row r="160" customFormat="false" ht="12.8" hidden="false" customHeight="false" outlineLevel="0" collapsed="false">
      <c r="A160" s="1" t="n">
        <f aca="false">ROW()-106</f>
        <v>54</v>
      </c>
      <c r="B160" s="8" t="s">
        <v>658</v>
      </c>
      <c r="D160" s="8" t="s">
        <v>662</v>
      </c>
      <c r="E160" s="8" t="s">
        <v>663</v>
      </c>
      <c r="F160" s="8" t="s">
        <v>29</v>
      </c>
      <c r="G160" s="8" t="s">
        <v>664</v>
      </c>
    </row>
    <row r="161" customFormat="false" ht="12.8" hidden="false" customHeight="false" outlineLevel="0" collapsed="false">
      <c r="A161" s="1" t="n">
        <f aca="false">ROW()-106</f>
        <v>55</v>
      </c>
      <c r="B161" s="8" t="s">
        <v>665</v>
      </c>
      <c r="C161" s="8" t="s">
        <v>666</v>
      </c>
      <c r="D161" s="8" t="s">
        <v>667</v>
      </c>
      <c r="E161" s="8" t="s">
        <v>668</v>
      </c>
      <c r="F161" s="8" t="s">
        <v>29</v>
      </c>
      <c r="G161" s="8" t="s">
        <v>669</v>
      </c>
    </row>
    <row r="162" customFormat="false" ht="12.8" hidden="false" customHeight="false" outlineLevel="0" collapsed="false">
      <c r="A162" s="1" t="n">
        <f aca="false">ROW()-106</f>
        <v>56</v>
      </c>
      <c r="B162" s="8" t="s">
        <v>665</v>
      </c>
      <c r="D162" s="8" t="s">
        <v>670</v>
      </c>
      <c r="E162" s="8" t="s">
        <v>671</v>
      </c>
      <c r="F162" s="8" t="s">
        <v>467</v>
      </c>
      <c r="G162" s="8" t="s">
        <v>672</v>
      </c>
    </row>
    <row r="163" customFormat="false" ht="12.8" hidden="false" customHeight="false" outlineLevel="0" collapsed="false">
      <c r="A163" s="1" t="n">
        <f aca="false">ROW()-106</f>
        <v>57</v>
      </c>
      <c r="B163" s="8" t="s">
        <v>673</v>
      </c>
      <c r="C163" s="8" t="s">
        <v>674</v>
      </c>
      <c r="D163" s="8" t="s">
        <v>675</v>
      </c>
      <c r="E163" s="8" t="s">
        <v>676</v>
      </c>
      <c r="F163" s="8" t="s">
        <v>29</v>
      </c>
      <c r="G163" s="8" t="s">
        <v>677</v>
      </c>
    </row>
    <row r="164" customFormat="false" ht="12.8" hidden="false" customHeight="false" outlineLevel="0" collapsed="false">
      <c r="A164" s="1" t="n">
        <f aca="false">ROW()-106</f>
        <v>58</v>
      </c>
      <c r="B164" s="8" t="s">
        <v>678</v>
      </c>
      <c r="C164" s="8" t="s">
        <v>679</v>
      </c>
      <c r="D164" s="8" t="s">
        <v>680</v>
      </c>
      <c r="E164" s="8" t="s">
        <v>681</v>
      </c>
      <c r="F164" s="8" t="s">
        <v>29</v>
      </c>
      <c r="G164" s="8" t="s">
        <v>682</v>
      </c>
    </row>
    <row r="165" customFormat="false" ht="12.8" hidden="false" customHeight="false" outlineLevel="0" collapsed="false">
      <c r="A165" s="1" t="n">
        <f aca="false">ROW()-106</f>
        <v>59</v>
      </c>
      <c r="B165" s="8" t="s">
        <v>678</v>
      </c>
      <c r="D165" s="8" t="s">
        <v>683</v>
      </c>
      <c r="E165" s="8" t="s">
        <v>684</v>
      </c>
      <c r="F165" s="8" t="s">
        <v>29</v>
      </c>
      <c r="G165" s="8" t="s">
        <v>685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2"/>
  <sheetViews>
    <sheetView showFormulas="false" showGridLines="true" showRowColHeaders="true" showZeros="true" rightToLeft="false" tabSelected="false" showOutlineSymbols="true" defaultGridColor="true" view="normal" topLeftCell="A34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8.06"/>
    <col collapsed="false" customWidth="true" hidden="false" outlineLevel="0" max="2" min="2" style="1" width="38.53"/>
    <col collapsed="false" customWidth="true" hidden="false" outlineLevel="0" max="3" min="3" style="1" width="82.08"/>
    <col collapsed="false" customWidth="true" hidden="false" outlineLevel="0" max="4" min="4" style="53" width="18.89"/>
    <col collapsed="false" customWidth="true" hidden="false" outlineLevel="0" max="5" min="5" style="2" width="17.67"/>
    <col collapsed="false" customWidth="true" hidden="false" outlineLevel="0" max="6" min="6" style="2" width="16.55"/>
    <col collapsed="false" customWidth="true" hidden="false" outlineLevel="0" max="7" min="7" style="2" width="16.97"/>
    <col collapsed="false" customWidth="true" hidden="false" outlineLevel="0" max="8" min="8" style="2" width="19.61"/>
    <col collapsed="false" customWidth="true" hidden="false" outlineLevel="0" max="9" min="9" style="2" width="22.4"/>
    <col collapsed="false" customWidth="true" hidden="false" outlineLevel="0" max="10" min="10" style="2" width="28.52"/>
  </cols>
  <sheetData>
    <row r="1" customFormat="false" ht="26.1" hidden="false" customHeight="true" outlineLevel="0" collapsed="false">
      <c r="A1" s="9" t="s">
        <v>1</v>
      </c>
      <c r="B1" s="9" t="s">
        <v>2</v>
      </c>
      <c r="C1" s="9" t="s">
        <v>686</v>
      </c>
      <c r="D1" s="37" t="s">
        <v>4</v>
      </c>
      <c r="E1" s="37" t="s">
        <v>209</v>
      </c>
      <c r="F1" s="37" t="s">
        <v>210</v>
      </c>
      <c r="G1" s="37" t="s">
        <v>211</v>
      </c>
      <c r="H1" s="37" t="s">
        <v>212</v>
      </c>
      <c r="I1" s="37" t="s">
        <v>213</v>
      </c>
      <c r="J1" s="37" t="s">
        <v>214</v>
      </c>
    </row>
    <row r="2" customFormat="false" ht="12.8" hidden="false" customHeight="false" outlineLevel="0" collapsed="false">
      <c r="A2" s="38" t="n">
        <f aca="false">ROW()-1</f>
        <v>1</v>
      </c>
      <c r="B2" s="11" t="s">
        <v>687</v>
      </c>
      <c r="C2" s="54" t="s">
        <v>688</v>
      </c>
      <c r="D2" s="55" t="n">
        <v>45849</v>
      </c>
      <c r="E2" s="56" t="n">
        <f aca="false">D2+1</f>
        <v>45850</v>
      </c>
      <c r="F2" s="17" t="n">
        <f aca="false">E2+2</f>
        <v>45852</v>
      </c>
      <c r="G2" s="17" t="n">
        <f aca="false">F2+3</f>
        <v>45855</v>
      </c>
      <c r="H2" s="17" t="n">
        <f aca="false">G2+7</f>
        <v>45862</v>
      </c>
      <c r="I2" s="17" t="n">
        <f aca="false">H2+14</f>
        <v>45876</v>
      </c>
      <c r="J2" s="17" t="n">
        <f aca="false">I2+20</f>
        <v>45896</v>
      </c>
    </row>
    <row r="3" customFormat="false" ht="12.8" hidden="false" customHeight="false" outlineLevel="0" collapsed="false">
      <c r="A3" s="38" t="n">
        <f aca="false">ROW()-1</f>
        <v>2</v>
      </c>
      <c r="B3" s="11" t="s">
        <v>689</v>
      </c>
      <c r="C3" s="54" t="s">
        <v>690</v>
      </c>
      <c r="D3" s="55" t="n">
        <v>45849</v>
      </c>
      <c r="E3" s="56" t="n">
        <f aca="false">D3+1</f>
        <v>45850</v>
      </c>
      <c r="F3" s="17" t="n">
        <f aca="false">E3+2</f>
        <v>45852</v>
      </c>
      <c r="G3" s="17" t="n">
        <f aca="false">F3+3</f>
        <v>45855</v>
      </c>
      <c r="H3" s="17" t="n">
        <f aca="false">G3+7</f>
        <v>45862</v>
      </c>
      <c r="I3" s="17" t="n">
        <f aca="false">H3+14</f>
        <v>45876</v>
      </c>
      <c r="J3" s="17" t="n">
        <f aca="false">I3+20</f>
        <v>45896</v>
      </c>
    </row>
    <row r="4" customFormat="false" ht="12.8" hidden="false" customHeight="false" outlineLevel="0" collapsed="false">
      <c r="A4" s="38" t="n">
        <f aca="false">ROW()-1</f>
        <v>3</v>
      </c>
      <c r="B4" s="11" t="s">
        <v>691</v>
      </c>
      <c r="C4" s="54" t="s">
        <v>692</v>
      </c>
      <c r="D4" s="55" t="n">
        <v>45849</v>
      </c>
      <c r="E4" s="56" t="n">
        <f aca="false">D4+1</f>
        <v>45850</v>
      </c>
      <c r="F4" s="17" t="n">
        <f aca="false">E4+2</f>
        <v>45852</v>
      </c>
      <c r="G4" s="17" t="n">
        <f aca="false">F4+3</f>
        <v>45855</v>
      </c>
      <c r="H4" s="17" t="n">
        <f aca="false">G4+7</f>
        <v>45862</v>
      </c>
      <c r="I4" s="17" t="n">
        <f aca="false">H4+14</f>
        <v>45876</v>
      </c>
      <c r="J4" s="17" t="n">
        <f aca="false">I4+20</f>
        <v>45896</v>
      </c>
    </row>
    <row r="5" customFormat="false" ht="12.8" hidden="false" customHeight="false" outlineLevel="0" collapsed="false">
      <c r="A5" s="38" t="n">
        <f aca="false">ROW()-1</f>
        <v>4</v>
      </c>
      <c r="B5" s="11" t="s">
        <v>693</v>
      </c>
      <c r="C5" s="16" t="s">
        <v>694</v>
      </c>
      <c r="D5" s="57" t="n">
        <v>45849</v>
      </c>
      <c r="E5" s="56" t="n">
        <f aca="false">D5+1</f>
        <v>45850</v>
      </c>
      <c r="F5" s="17" t="n">
        <f aca="false">E5+2</f>
        <v>45852</v>
      </c>
      <c r="G5" s="17" t="n">
        <f aca="false">F5+3</f>
        <v>45855</v>
      </c>
      <c r="H5" s="17" t="n">
        <f aca="false">G5+7</f>
        <v>45862</v>
      </c>
      <c r="I5" s="17" t="n">
        <f aca="false">H5+14</f>
        <v>45876</v>
      </c>
      <c r="J5" s="17" t="n">
        <f aca="false">I5+20</f>
        <v>45896</v>
      </c>
    </row>
    <row r="6" customFormat="false" ht="12.8" hidden="false" customHeight="false" outlineLevel="0" collapsed="false">
      <c r="A6" s="38" t="n">
        <f aca="false">ROW()-1</f>
        <v>5</v>
      </c>
      <c r="B6" s="11" t="s">
        <v>695</v>
      </c>
      <c r="C6" s="16" t="s">
        <v>696</v>
      </c>
      <c r="D6" s="57" t="n">
        <v>45849</v>
      </c>
      <c r="E6" s="56" t="n">
        <f aca="false">D6+1</f>
        <v>45850</v>
      </c>
      <c r="F6" s="17" t="n">
        <f aca="false">E6+2</f>
        <v>45852</v>
      </c>
      <c r="G6" s="17" t="n">
        <f aca="false">F6+3</f>
        <v>45855</v>
      </c>
      <c r="H6" s="17" t="n">
        <f aca="false">G6+7</f>
        <v>45862</v>
      </c>
      <c r="I6" s="17" t="n">
        <f aca="false">H6+14</f>
        <v>45876</v>
      </c>
      <c r="J6" s="26" t="n">
        <f aca="false">I6+20</f>
        <v>45896</v>
      </c>
    </row>
    <row r="7" customFormat="false" ht="12.8" hidden="false" customHeight="false" outlineLevel="0" collapsed="false">
      <c r="A7" s="38" t="n">
        <f aca="false">ROW()-1</f>
        <v>6</v>
      </c>
      <c r="B7" s="11" t="s">
        <v>697</v>
      </c>
      <c r="C7" s="16" t="s">
        <v>698</v>
      </c>
      <c r="D7" s="57" t="n">
        <v>45849</v>
      </c>
      <c r="E7" s="56" t="n">
        <f aca="false">D7+1</f>
        <v>45850</v>
      </c>
      <c r="F7" s="17" t="n">
        <f aca="false">E7+2</f>
        <v>45852</v>
      </c>
      <c r="G7" s="17" t="n">
        <f aca="false">F7+3</f>
        <v>45855</v>
      </c>
      <c r="H7" s="17" t="n">
        <f aca="false">G7+7</f>
        <v>45862</v>
      </c>
      <c r="I7" s="17" t="n">
        <f aca="false">H7+14</f>
        <v>45876</v>
      </c>
      <c r="J7" s="26" t="n">
        <f aca="false">I7+20</f>
        <v>45896</v>
      </c>
    </row>
    <row r="8" customFormat="false" ht="12.8" hidden="false" customHeight="false" outlineLevel="0" collapsed="false">
      <c r="A8" s="38" t="n">
        <f aca="false">ROW()-1</f>
        <v>7</v>
      </c>
      <c r="B8" s="11" t="s">
        <v>699</v>
      </c>
      <c r="C8" s="54" t="s">
        <v>700</v>
      </c>
      <c r="D8" s="57" t="n">
        <v>45849</v>
      </c>
      <c r="E8" s="56" t="n">
        <f aca="false">D8+1</f>
        <v>45850</v>
      </c>
      <c r="F8" s="17" t="n">
        <f aca="false">E8+2</f>
        <v>45852</v>
      </c>
      <c r="G8" s="17" t="n">
        <f aca="false">F8+3</f>
        <v>45855</v>
      </c>
      <c r="H8" s="17" t="n">
        <f aca="false">G8+7</f>
        <v>45862</v>
      </c>
      <c r="I8" s="17" t="n">
        <f aca="false">H8+14</f>
        <v>45876</v>
      </c>
      <c r="J8" s="26" t="n">
        <f aca="false">I8+20</f>
        <v>45896</v>
      </c>
    </row>
    <row r="9" customFormat="false" ht="12.8" hidden="false" customHeight="false" outlineLevel="0" collapsed="false">
      <c r="A9" s="38" t="n">
        <f aca="false">ROW()-1</f>
        <v>8</v>
      </c>
      <c r="B9" s="11" t="s">
        <v>701</v>
      </c>
      <c r="C9" s="16" t="s">
        <v>702</v>
      </c>
      <c r="D9" s="58" t="n">
        <v>45850</v>
      </c>
      <c r="E9" s="17" t="n">
        <f aca="false">D9+1</f>
        <v>45851</v>
      </c>
      <c r="F9" s="17" t="n">
        <f aca="false">E9+2</f>
        <v>45853</v>
      </c>
      <c r="G9" s="17" t="n">
        <f aca="false">F9+3</f>
        <v>45856</v>
      </c>
      <c r="H9" s="17" t="n">
        <f aca="false">G9+7</f>
        <v>45863</v>
      </c>
      <c r="I9" s="17" t="n">
        <f aca="false">H9+14</f>
        <v>45877</v>
      </c>
      <c r="J9" s="26" t="n">
        <f aca="false">I9+20</f>
        <v>45897</v>
      </c>
    </row>
    <row r="10" customFormat="false" ht="12.8" hidden="false" customHeight="false" outlineLevel="0" collapsed="false">
      <c r="A10" s="38" t="n">
        <f aca="false">ROW()-1</f>
        <v>9</v>
      </c>
      <c r="B10" s="11" t="s">
        <v>703</v>
      </c>
      <c r="C10" s="16" t="s">
        <v>704</v>
      </c>
      <c r="D10" s="58" t="n">
        <v>45850</v>
      </c>
      <c r="E10" s="17" t="n">
        <f aca="false">D10+1</f>
        <v>45851</v>
      </c>
      <c r="F10" s="17" t="n">
        <f aca="false">E10+2</f>
        <v>45853</v>
      </c>
      <c r="G10" s="17" t="n">
        <f aca="false">F10+3</f>
        <v>45856</v>
      </c>
      <c r="H10" s="17" t="n">
        <f aca="false">G10+7</f>
        <v>45863</v>
      </c>
      <c r="I10" s="17" t="n">
        <f aca="false">H10+14</f>
        <v>45877</v>
      </c>
      <c r="J10" s="26" t="n">
        <f aca="false">I10+20</f>
        <v>45897</v>
      </c>
    </row>
    <row r="11" customFormat="false" ht="12.8" hidden="false" customHeight="false" outlineLevel="0" collapsed="false">
      <c r="A11" s="38" t="n">
        <f aca="false">ROW()-1</f>
        <v>10</v>
      </c>
      <c r="B11" s="11" t="s">
        <v>705</v>
      </c>
      <c r="C11" s="16" t="s">
        <v>706</v>
      </c>
      <c r="D11" s="58" t="n">
        <v>45850</v>
      </c>
      <c r="E11" s="17" t="n">
        <f aca="false">D11+1</f>
        <v>45851</v>
      </c>
      <c r="F11" s="17" t="n">
        <f aca="false">E11+2</f>
        <v>45853</v>
      </c>
      <c r="G11" s="17" t="n">
        <f aca="false">F11+3</f>
        <v>45856</v>
      </c>
      <c r="H11" s="17" t="n">
        <f aca="false">G11+7</f>
        <v>45863</v>
      </c>
      <c r="I11" s="17" t="n">
        <f aca="false">H11+14</f>
        <v>45877</v>
      </c>
      <c r="J11" s="26" t="n">
        <f aca="false">I11+20</f>
        <v>45897</v>
      </c>
    </row>
    <row r="12" customFormat="false" ht="12.8" hidden="false" customHeight="false" outlineLevel="0" collapsed="false">
      <c r="A12" s="38" t="n">
        <f aca="false">ROW()-1</f>
        <v>11</v>
      </c>
      <c r="B12" s="11" t="s">
        <v>707</v>
      </c>
      <c r="C12" s="16"/>
      <c r="D12" s="58" t="n">
        <v>45850</v>
      </c>
      <c r="E12" s="17" t="n">
        <f aca="false">D12+1</f>
        <v>45851</v>
      </c>
      <c r="F12" s="17" t="n">
        <f aca="false">E12+2</f>
        <v>45853</v>
      </c>
      <c r="G12" s="17" t="n">
        <f aca="false">F12+3</f>
        <v>45856</v>
      </c>
      <c r="H12" s="17" t="n">
        <f aca="false">G12+7</f>
        <v>45863</v>
      </c>
      <c r="I12" s="17" t="n">
        <f aca="false">H12+14</f>
        <v>45877</v>
      </c>
      <c r="J12" s="26" t="n">
        <f aca="false">I12+20</f>
        <v>45897</v>
      </c>
    </row>
    <row r="13" customFormat="false" ht="12.8" hidden="false" customHeight="false" outlineLevel="0" collapsed="false">
      <c r="A13" s="38" t="n">
        <f aca="false">ROW()-1</f>
        <v>12</v>
      </c>
      <c r="B13" s="59" t="s">
        <v>708</v>
      </c>
      <c r="C13" s="16" t="s">
        <v>709</v>
      </c>
      <c r="D13" s="58"/>
      <c r="E13" s="17" t="n">
        <f aca="false">D13+1</f>
        <v>1</v>
      </c>
      <c r="F13" s="17" t="n">
        <f aca="false">E13+2</f>
        <v>3</v>
      </c>
      <c r="G13" s="17" t="n">
        <f aca="false">F13+3</f>
        <v>6</v>
      </c>
      <c r="H13" s="17" t="n">
        <f aca="false">G13+7</f>
        <v>13</v>
      </c>
      <c r="I13" s="17" t="n">
        <f aca="false">H13+14</f>
        <v>27</v>
      </c>
      <c r="J13" s="26" t="n">
        <f aca="false">I13+20</f>
        <v>47</v>
      </c>
    </row>
    <row r="14" customFormat="false" ht="12.8" hidden="false" customHeight="false" outlineLevel="0" collapsed="false">
      <c r="A14" s="38" t="n">
        <f aca="false">ROW()-1</f>
        <v>13</v>
      </c>
      <c r="B14" s="60" t="s">
        <v>710</v>
      </c>
      <c r="C14" s="16" t="s">
        <v>711</v>
      </c>
      <c r="D14" s="58" t="n">
        <v>45850</v>
      </c>
      <c r="E14" s="17" t="n">
        <f aca="false">D14+1</f>
        <v>45851</v>
      </c>
      <c r="F14" s="17" t="n">
        <f aca="false">E14+2</f>
        <v>45853</v>
      </c>
      <c r="G14" s="17" t="n">
        <f aca="false">F14+3</f>
        <v>45856</v>
      </c>
      <c r="H14" s="17" t="n">
        <f aca="false">G14+7</f>
        <v>45863</v>
      </c>
      <c r="I14" s="17" t="n">
        <f aca="false">H14+14</f>
        <v>45877</v>
      </c>
      <c r="J14" s="26" t="n">
        <f aca="false">I14+20</f>
        <v>45897</v>
      </c>
    </row>
    <row r="15" customFormat="false" ht="12.8" hidden="false" customHeight="false" outlineLevel="0" collapsed="false">
      <c r="A15" s="38" t="n">
        <f aca="false">ROW()-1</f>
        <v>14</v>
      </c>
      <c r="B15" s="11" t="s">
        <v>712</v>
      </c>
      <c r="C15" s="16" t="s">
        <v>713</v>
      </c>
      <c r="D15" s="58" t="n">
        <v>45850</v>
      </c>
      <c r="E15" s="17" t="n">
        <f aca="false">D15+1</f>
        <v>45851</v>
      </c>
      <c r="F15" s="17" t="n">
        <f aca="false">E15+2</f>
        <v>45853</v>
      </c>
      <c r="G15" s="17" t="n">
        <f aca="false">F15+3</f>
        <v>45856</v>
      </c>
      <c r="H15" s="17" t="n">
        <f aca="false">G15+7</f>
        <v>45863</v>
      </c>
      <c r="I15" s="17" t="n">
        <f aca="false">H15+14</f>
        <v>45877</v>
      </c>
      <c r="J15" s="26" t="n">
        <f aca="false">I15+20</f>
        <v>45897</v>
      </c>
    </row>
    <row r="16" customFormat="false" ht="12.8" hidden="false" customHeight="false" outlineLevel="0" collapsed="false">
      <c r="A16" s="38" t="n">
        <f aca="false">ROW()-1</f>
        <v>15</v>
      </c>
      <c r="B16" s="11" t="s">
        <v>714</v>
      </c>
      <c r="C16" s="16" t="s">
        <v>715</v>
      </c>
      <c r="D16" s="58" t="n">
        <v>45850</v>
      </c>
      <c r="E16" s="17" t="n">
        <f aca="false">D16+1</f>
        <v>45851</v>
      </c>
      <c r="F16" s="17" t="n">
        <f aca="false">E16+2</f>
        <v>45853</v>
      </c>
      <c r="G16" s="17" t="n">
        <f aca="false">F16+3</f>
        <v>45856</v>
      </c>
      <c r="H16" s="17" t="n">
        <f aca="false">G16+7</f>
        <v>45863</v>
      </c>
      <c r="I16" s="17" t="n">
        <f aca="false">H16+14</f>
        <v>45877</v>
      </c>
      <c r="J16" s="26" t="n">
        <f aca="false">I16+20</f>
        <v>45897</v>
      </c>
    </row>
    <row r="17" customFormat="false" ht="12.8" hidden="false" customHeight="false" outlineLevel="0" collapsed="false">
      <c r="A17" s="38" t="n">
        <f aca="false">ROW()-1</f>
        <v>16</v>
      </c>
      <c r="B17" s="11" t="s">
        <v>716</v>
      </c>
      <c r="C17" s="16" t="s">
        <v>717</v>
      </c>
      <c r="D17" s="58"/>
      <c r="E17" s="17" t="n">
        <f aca="false">D17+1</f>
        <v>1</v>
      </c>
      <c r="F17" s="17" t="n">
        <f aca="false">E17+2</f>
        <v>3</v>
      </c>
      <c r="G17" s="17" t="n">
        <f aca="false">F17+3</f>
        <v>6</v>
      </c>
      <c r="H17" s="17" t="n">
        <f aca="false">G17+7</f>
        <v>13</v>
      </c>
      <c r="I17" s="17" t="n">
        <f aca="false">H17+14</f>
        <v>27</v>
      </c>
      <c r="J17" s="26" t="n">
        <f aca="false">I17+20</f>
        <v>47</v>
      </c>
    </row>
    <row r="18" customFormat="false" ht="12.8" hidden="false" customHeight="false" outlineLevel="0" collapsed="false">
      <c r="A18" s="38" t="n">
        <f aca="false">ROW()-1</f>
        <v>17</v>
      </c>
      <c r="B18" s="11" t="s">
        <v>718</v>
      </c>
      <c r="C18" s="16" t="s">
        <v>719</v>
      </c>
      <c r="D18" s="58"/>
      <c r="E18" s="17" t="n">
        <f aca="false">D18+1</f>
        <v>1</v>
      </c>
      <c r="F18" s="17" t="n">
        <f aca="false">E18+2</f>
        <v>3</v>
      </c>
      <c r="G18" s="17" t="n">
        <f aca="false">F18+3</f>
        <v>6</v>
      </c>
      <c r="H18" s="17" t="n">
        <f aca="false">G18+7</f>
        <v>13</v>
      </c>
      <c r="I18" s="17" t="n">
        <f aca="false">H18+14</f>
        <v>27</v>
      </c>
      <c r="J18" s="26" t="n">
        <f aca="false">I18+20</f>
        <v>47</v>
      </c>
    </row>
    <row r="19" customFormat="false" ht="12.8" hidden="false" customHeight="false" outlineLevel="0" collapsed="false">
      <c r="A19" s="38" t="n">
        <f aca="false">ROW()-1</f>
        <v>18</v>
      </c>
      <c r="B19" s="11" t="s">
        <v>720</v>
      </c>
      <c r="C19" s="16" t="s">
        <v>721</v>
      </c>
      <c r="D19" s="58"/>
      <c r="E19" s="17" t="n">
        <f aca="false">D19+1</f>
        <v>1</v>
      </c>
      <c r="F19" s="17" t="n">
        <f aca="false">E19+2</f>
        <v>3</v>
      </c>
      <c r="G19" s="17" t="n">
        <f aca="false">F19+3</f>
        <v>6</v>
      </c>
      <c r="H19" s="17" t="n">
        <f aca="false">G19+7</f>
        <v>13</v>
      </c>
      <c r="I19" s="17" t="n">
        <f aca="false">H19+14</f>
        <v>27</v>
      </c>
      <c r="J19" s="26" t="n">
        <f aca="false">I19+20</f>
        <v>47</v>
      </c>
    </row>
    <row r="20" customFormat="false" ht="12.8" hidden="false" customHeight="false" outlineLevel="0" collapsed="false">
      <c r="A20" s="38" t="n">
        <f aca="false">ROW()-1</f>
        <v>19</v>
      </c>
      <c r="B20" s="11" t="s">
        <v>722</v>
      </c>
      <c r="C20" s="16" t="s">
        <v>723</v>
      </c>
      <c r="D20" s="58"/>
      <c r="E20" s="17" t="n">
        <f aca="false">D20+1</f>
        <v>1</v>
      </c>
      <c r="F20" s="17" t="n">
        <f aca="false">E20+2</f>
        <v>3</v>
      </c>
      <c r="G20" s="17" t="n">
        <f aca="false">F20+3</f>
        <v>6</v>
      </c>
      <c r="H20" s="17" t="n">
        <f aca="false">G20+7</f>
        <v>13</v>
      </c>
      <c r="I20" s="17" t="n">
        <f aca="false">H20+14</f>
        <v>27</v>
      </c>
      <c r="J20" s="26" t="n">
        <f aca="false">I20+20</f>
        <v>47</v>
      </c>
    </row>
    <row r="21" customFormat="false" ht="12.8" hidden="false" customHeight="false" outlineLevel="0" collapsed="false">
      <c r="A21" s="38" t="n">
        <f aca="false">ROW()-1</f>
        <v>20</v>
      </c>
      <c r="B21" s="11" t="s">
        <v>724</v>
      </c>
      <c r="C21" s="16" t="s">
        <v>725</v>
      </c>
      <c r="D21" s="58"/>
      <c r="E21" s="17" t="n">
        <f aca="false">D21+1</f>
        <v>1</v>
      </c>
      <c r="F21" s="17" t="n">
        <f aca="false">E21+2</f>
        <v>3</v>
      </c>
      <c r="G21" s="17" t="n">
        <f aca="false">F21+3</f>
        <v>6</v>
      </c>
      <c r="H21" s="17" t="n">
        <f aca="false">G21+7</f>
        <v>13</v>
      </c>
      <c r="I21" s="17" t="n">
        <f aca="false">H21+14</f>
        <v>27</v>
      </c>
      <c r="J21" s="26" t="n">
        <f aca="false">I21+20</f>
        <v>47</v>
      </c>
    </row>
    <row r="22" customFormat="false" ht="12.8" hidden="false" customHeight="false" outlineLevel="0" collapsed="false">
      <c r="A22" s="38" t="n">
        <f aca="false">ROW()-1</f>
        <v>21</v>
      </c>
      <c r="B22" s="11" t="s">
        <v>726</v>
      </c>
      <c r="C22" s="16" t="s">
        <v>727</v>
      </c>
      <c r="D22" s="58"/>
      <c r="E22" s="17" t="n">
        <f aca="false">D22+1</f>
        <v>1</v>
      </c>
      <c r="F22" s="17" t="n">
        <f aca="false">E22+2</f>
        <v>3</v>
      </c>
      <c r="G22" s="17" t="n">
        <f aca="false">F22+3</f>
        <v>6</v>
      </c>
      <c r="H22" s="17" t="n">
        <f aca="false">G22+7</f>
        <v>13</v>
      </c>
      <c r="I22" s="17" t="n">
        <f aca="false">H22+14</f>
        <v>27</v>
      </c>
      <c r="J22" s="26" t="n">
        <f aca="false">I22+20</f>
        <v>47</v>
      </c>
    </row>
    <row r="23" customFormat="false" ht="12.8" hidden="false" customHeight="false" outlineLevel="0" collapsed="false">
      <c r="A23" s="38" t="n">
        <f aca="false">ROW()-1</f>
        <v>22</v>
      </c>
      <c r="B23" s="11" t="s">
        <v>728</v>
      </c>
      <c r="C23" s="16" t="s">
        <v>729</v>
      </c>
      <c r="D23" s="58"/>
      <c r="E23" s="17" t="n">
        <f aca="false">D23+1</f>
        <v>1</v>
      </c>
      <c r="F23" s="17" t="n">
        <f aca="false">E23+2</f>
        <v>3</v>
      </c>
      <c r="G23" s="17" t="n">
        <f aca="false">F23+3</f>
        <v>6</v>
      </c>
      <c r="H23" s="17" t="n">
        <f aca="false">G23+7</f>
        <v>13</v>
      </c>
      <c r="I23" s="17" t="n">
        <f aca="false">H23+14</f>
        <v>27</v>
      </c>
      <c r="J23" s="26" t="n">
        <f aca="false">I23+20</f>
        <v>47</v>
      </c>
    </row>
    <row r="24" customFormat="false" ht="12.8" hidden="false" customHeight="false" outlineLevel="0" collapsed="false">
      <c r="A24" s="38" t="n">
        <f aca="false">ROW()-1</f>
        <v>23</v>
      </c>
      <c r="B24" s="11" t="s">
        <v>730</v>
      </c>
      <c r="C24" s="16" t="s">
        <v>731</v>
      </c>
      <c r="D24" s="58"/>
      <c r="E24" s="17" t="n">
        <f aca="false">D24+1</f>
        <v>1</v>
      </c>
      <c r="F24" s="17" t="n">
        <f aca="false">E24+2</f>
        <v>3</v>
      </c>
      <c r="G24" s="17" t="n">
        <f aca="false">F24+3</f>
        <v>6</v>
      </c>
      <c r="H24" s="17" t="n">
        <f aca="false">G24+7</f>
        <v>13</v>
      </c>
      <c r="I24" s="17" t="n">
        <f aca="false">H24+14</f>
        <v>27</v>
      </c>
      <c r="J24" s="26" t="n">
        <f aca="false">I24+20</f>
        <v>47</v>
      </c>
    </row>
    <row r="25" customFormat="false" ht="12.8" hidden="false" customHeight="false" outlineLevel="0" collapsed="false">
      <c r="A25" s="38" t="n">
        <f aca="false">ROW()-1</f>
        <v>24</v>
      </c>
      <c r="B25" s="11" t="s">
        <v>732</v>
      </c>
      <c r="C25" s="16" t="s">
        <v>733</v>
      </c>
      <c r="D25" s="58"/>
      <c r="E25" s="17" t="n">
        <f aca="false">D25+1</f>
        <v>1</v>
      </c>
      <c r="F25" s="17" t="n">
        <f aca="false">E25+2</f>
        <v>3</v>
      </c>
      <c r="G25" s="17" t="n">
        <f aca="false">F25+3</f>
        <v>6</v>
      </c>
      <c r="H25" s="17" t="n">
        <f aca="false">G25+7</f>
        <v>13</v>
      </c>
      <c r="I25" s="17" t="n">
        <f aca="false">H25+14</f>
        <v>27</v>
      </c>
      <c r="J25" s="26" t="n">
        <f aca="false">I25+20</f>
        <v>47</v>
      </c>
    </row>
    <row r="26" customFormat="false" ht="12.8" hidden="false" customHeight="false" outlineLevel="0" collapsed="false">
      <c r="A26" s="38" t="n">
        <f aca="false">ROW()-1</f>
        <v>25</v>
      </c>
      <c r="B26" s="11" t="s">
        <v>734</v>
      </c>
      <c r="C26" s="16" t="s">
        <v>735</v>
      </c>
      <c r="D26" s="58"/>
      <c r="E26" s="17" t="n">
        <f aca="false">D26+1</f>
        <v>1</v>
      </c>
      <c r="F26" s="17" t="n">
        <f aca="false">E26+2</f>
        <v>3</v>
      </c>
      <c r="G26" s="17" t="n">
        <f aca="false">F26+3</f>
        <v>6</v>
      </c>
      <c r="H26" s="17" t="n">
        <f aca="false">G26+7</f>
        <v>13</v>
      </c>
      <c r="I26" s="17" t="n">
        <f aca="false">H26+14</f>
        <v>27</v>
      </c>
      <c r="J26" s="26" t="n">
        <f aca="false">I26+20</f>
        <v>47</v>
      </c>
    </row>
    <row r="27" customFormat="false" ht="12.8" hidden="false" customHeight="false" outlineLevel="0" collapsed="false">
      <c r="A27" s="38" t="n">
        <f aca="false">ROW()-1</f>
        <v>26</v>
      </c>
      <c r="B27" s="11" t="s">
        <v>736</v>
      </c>
      <c r="C27" s="16" t="s">
        <v>737</v>
      </c>
      <c r="D27" s="58"/>
      <c r="E27" s="17" t="n">
        <f aca="false">D27+1</f>
        <v>1</v>
      </c>
      <c r="F27" s="17" t="n">
        <f aca="false">E27+2</f>
        <v>3</v>
      </c>
      <c r="G27" s="17" t="n">
        <f aca="false">F27+3</f>
        <v>6</v>
      </c>
      <c r="H27" s="17" t="n">
        <f aca="false">G27+7</f>
        <v>13</v>
      </c>
      <c r="I27" s="17" t="n">
        <f aca="false">H27+14</f>
        <v>27</v>
      </c>
      <c r="J27" s="26" t="n">
        <f aca="false">I27+20</f>
        <v>47</v>
      </c>
    </row>
    <row r="28" customFormat="false" ht="12.8" hidden="false" customHeight="false" outlineLevel="0" collapsed="false">
      <c r="A28" s="38" t="n">
        <f aca="false">ROW()-1</f>
        <v>27</v>
      </c>
      <c r="B28" s="11" t="s">
        <v>738</v>
      </c>
      <c r="C28" s="16" t="s">
        <v>739</v>
      </c>
      <c r="D28" s="58"/>
      <c r="E28" s="17" t="n">
        <f aca="false">D28+1</f>
        <v>1</v>
      </c>
      <c r="F28" s="17" t="n">
        <f aca="false">E28+2</f>
        <v>3</v>
      </c>
      <c r="G28" s="17" t="n">
        <f aca="false">F28+3</f>
        <v>6</v>
      </c>
      <c r="H28" s="17" t="n">
        <f aca="false">G28+7</f>
        <v>13</v>
      </c>
      <c r="I28" s="17" t="n">
        <f aca="false">H28+14</f>
        <v>27</v>
      </c>
      <c r="J28" s="26" t="n">
        <f aca="false">I28+20</f>
        <v>47</v>
      </c>
    </row>
    <row r="29" customFormat="false" ht="12.8" hidden="false" customHeight="false" outlineLevel="0" collapsed="false">
      <c r="A29" s="38" t="n">
        <f aca="false">ROW()-1</f>
        <v>28</v>
      </c>
      <c r="B29" s="11" t="s">
        <v>740</v>
      </c>
      <c r="C29" s="16" t="s">
        <v>741</v>
      </c>
      <c r="D29" s="58"/>
      <c r="E29" s="17" t="n">
        <f aca="false">D29+1</f>
        <v>1</v>
      </c>
      <c r="F29" s="17" t="n">
        <f aca="false">E29+2</f>
        <v>3</v>
      </c>
      <c r="G29" s="17" t="n">
        <f aca="false">F29+3</f>
        <v>6</v>
      </c>
      <c r="H29" s="17" t="n">
        <f aca="false">G29+7</f>
        <v>13</v>
      </c>
      <c r="I29" s="17" t="n">
        <f aca="false">H29+14</f>
        <v>27</v>
      </c>
      <c r="J29" s="26" t="n">
        <f aca="false">I29+20</f>
        <v>47</v>
      </c>
    </row>
    <row r="30" customFormat="false" ht="12.8" hidden="false" customHeight="false" outlineLevel="0" collapsed="false">
      <c r="A30" s="38" t="n">
        <f aca="false">ROW()-1</f>
        <v>29</v>
      </c>
      <c r="B30" s="11" t="s">
        <v>742</v>
      </c>
      <c r="C30" s="16" t="s">
        <v>743</v>
      </c>
      <c r="D30" s="58"/>
      <c r="E30" s="17" t="n">
        <f aca="false">D30+1</f>
        <v>1</v>
      </c>
      <c r="F30" s="17" t="n">
        <f aca="false">E30+2</f>
        <v>3</v>
      </c>
      <c r="G30" s="17" t="n">
        <f aca="false">F30+3</f>
        <v>6</v>
      </c>
      <c r="H30" s="17" t="n">
        <f aca="false">G30+7</f>
        <v>13</v>
      </c>
      <c r="I30" s="17" t="n">
        <f aca="false">H30+14</f>
        <v>27</v>
      </c>
      <c r="J30" s="26" t="n">
        <f aca="false">I30+20</f>
        <v>47</v>
      </c>
    </row>
    <row r="31" customFormat="false" ht="12.8" hidden="false" customHeight="false" outlineLevel="0" collapsed="false">
      <c r="A31" s="38" t="n">
        <f aca="false">ROW()-1</f>
        <v>30</v>
      </c>
      <c r="B31" s="11" t="s">
        <v>744</v>
      </c>
      <c r="C31" s="16" t="s">
        <v>745</v>
      </c>
      <c r="D31" s="58"/>
      <c r="E31" s="17" t="n">
        <f aca="false">D31+1</f>
        <v>1</v>
      </c>
      <c r="F31" s="17" t="n">
        <f aca="false">E31+2</f>
        <v>3</v>
      </c>
      <c r="G31" s="17" t="n">
        <f aca="false">F31+3</f>
        <v>6</v>
      </c>
      <c r="H31" s="17" t="n">
        <f aca="false">G31+7</f>
        <v>13</v>
      </c>
      <c r="I31" s="17" t="n">
        <f aca="false">H31+14</f>
        <v>27</v>
      </c>
      <c r="J31" s="26" t="n">
        <f aca="false">I31+20</f>
        <v>47</v>
      </c>
    </row>
    <row r="32" customFormat="false" ht="12.8" hidden="false" customHeight="false" outlineLevel="0" collapsed="false">
      <c r="A32" s="38" t="n">
        <f aca="false">ROW()-1</f>
        <v>31</v>
      </c>
      <c r="B32" s="11" t="s">
        <v>746</v>
      </c>
      <c r="C32" s="16" t="s">
        <v>747</v>
      </c>
      <c r="D32" s="58"/>
      <c r="E32" s="17" t="n">
        <f aca="false">D32+1</f>
        <v>1</v>
      </c>
      <c r="F32" s="17" t="n">
        <f aca="false">E32+2</f>
        <v>3</v>
      </c>
      <c r="G32" s="17" t="n">
        <f aca="false">F32+3</f>
        <v>6</v>
      </c>
      <c r="H32" s="17" t="n">
        <f aca="false">G32+7</f>
        <v>13</v>
      </c>
      <c r="I32" s="17" t="n">
        <f aca="false">H32+14</f>
        <v>27</v>
      </c>
      <c r="J32" s="26" t="n">
        <f aca="false">I32+20</f>
        <v>47</v>
      </c>
    </row>
    <row r="33" customFormat="false" ht="12.8" hidden="false" customHeight="false" outlineLevel="0" collapsed="false">
      <c r="A33" s="38" t="n">
        <f aca="false">ROW()-1</f>
        <v>32</v>
      </c>
      <c r="B33" s="11" t="s">
        <v>748</v>
      </c>
      <c r="C33" s="16" t="s">
        <v>749</v>
      </c>
      <c r="D33" s="58"/>
      <c r="E33" s="17" t="n">
        <f aca="false">D33+1</f>
        <v>1</v>
      </c>
      <c r="F33" s="17" t="n">
        <f aca="false">E33+2</f>
        <v>3</v>
      </c>
      <c r="G33" s="17" t="n">
        <f aca="false">F33+3</f>
        <v>6</v>
      </c>
      <c r="H33" s="17" t="n">
        <f aca="false">G33+7</f>
        <v>13</v>
      </c>
      <c r="I33" s="17" t="n">
        <f aca="false">H33+14</f>
        <v>27</v>
      </c>
      <c r="J33" s="26" t="n">
        <f aca="false">I33+20</f>
        <v>47</v>
      </c>
    </row>
    <row r="34" customFormat="false" ht="12.8" hidden="false" customHeight="false" outlineLevel="0" collapsed="false">
      <c r="A34" s="38" t="n">
        <f aca="false">ROW()-1</f>
        <v>33</v>
      </c>
      <c r="B34" s="11" t="s">
        <v>701</v>
      </c>
      <c r="C34" s="16" t="s">
        <v>750</v>
      </c>
      <c r="D34" s="58"/>
      <c r="E34" s="17" t="n">
        <f aca="false">D34+1</f>
        <v>1</v>
      </c>
      <c r="F34" s="17" t="n">
        <f aca="false">E34+2</f>
        <v>3</v>
      </c>
      <c r="G34" s="17" t="n">
        <f aca="false">F34+3</f>
        <v>6</v>
      </c>
      <c r="H34" s="17" t="n">
        <f aca="false">G34+7</f>
        <v>13</v>
      </c>
      <c r="I34" s="17" t="n">
        <f aca="false">H34+14</f>
        <v>27</v>
      </c>
      <c r="J34" s="26" t="n">
        <f aca="false">I34+20</f>
        <v>47</v>
      </c>
    </row>
    <row r="35" customFormat="false" ht="12.8" hidden="false" customHeight="false" outlineLevel="0" collapsed="false">
      <c r="A35" s="38" t="n">
        <f aca="false">ROW()-1</f>
        <v>34</v>
      </c>
      <c r="B35" s="11" t="s">
        <v>751</v>
      </c>
      <c r="C35" s="16" t="s">
        <v>752</v>
      </c>
      <c r="D35" s="58"/>
      <c r="E35" s="17" t="n">
        <f aca="false">D35+1</f>
        <v>1</v>
      </c>
      <c r="F35" s="17" t="n">
        <f aca="false">E35+2</f>
        <v>3</v>
      </c>
      <c r="G35" s="17" t="n">
        <f aca="false">F35+3</f>
        <v>6</v>
      </c>
      <c r="H35" s="17" t="n">
        <f aca="false">G35+7</f>
        <v>13</v>
      </c>
      <c r="I35" s="17" t="n">
        <f aca="false">H35+14</f>
        <v>27</v>
      </c>
      <c r="J35" s="26" t="n">
        <f aca="false">I35+20</f>
        <v>47</v>
      </c>
    </row>
    <row r="36" customFormat="false" ht="12.8" hidden="false" customHeight="false" outlineLevel="0" collapsed="false">
      <c r="A36" s="38" t="n">
        <f aca="false">ROW()-1</f>
        <v>35</v>
      </c>
      <c r="B36" s="11" t="s">
        <v>753</v>
      </c>
      <c r="C36" s="16" t="s">
        <v>754</v>
      </c>
      <c r="D36" s="58"/>
      <c r="E36" s="17" t="n">
        <f aca="false">D36+1</f>
        <v>1</v>
      </c>
      <c r="F36" s="17" t="n">
        <f aca="false">E36+2</f>
        <v>3</v>
      </c>
      <c r="G36" s="17" t="n">
        <f aca="false">F36+3</f>
        <v>6</v>
      </c>
      <c r="H36" s="17" t="n">
        <f aca="false">G36+7</f>
        <v>13</v>
      </c>
      <c r="I36" s="17" t="n">
        <f aca="false">H36+14</f>
        <v>27</v>
      </c>
      <c r="J36" s="26" t="n">
        <f aca="false">I36+20</f>
        <v>47</v>
      </c>
    </row>
    <row r="37" customFormat="false" ht="12.8" hidden="false" customHeight="false" outlineLevel="0" collapsed="false">
      <c r="A37" s="38" t="n">
        <f aca="false">ROW()-1</f>
        <v>36</v>
      </c>
      <c r="B37" s="11" t="s">
        <v>755</v>
      </c>
      <c r="C37" s="16" t="s">
        <v>756</v>
      </c>
      <c r="D37" s="58"/>
      <c r="E37" s="17" t="n">
        <f aca="false">D37+1</f>
        <v>1</v>
      </c>
      <c r="F37" s="17" t="n">
        <f aca="false">E37+2</f>
        <v>3</v>
      </c>
      <c r="G37" s="17" t="n">
        <f aca="false">F37+3</f>
        <v>6</v>
      </c>
      <c r="H37" s="17" t="n">
        <f aca="false">G37+7</f>
        <v>13</v>
      </c>
      <c r="I37" s="17" t="n">
        <f aca="false">H37+14</f>
        <v>27</v>
      </c>
      <c r="J37" s="26" t="n">
        <f aca="false">I37+20</f>
        <v>47</v>
      </c>
    </row>
    <row r="38" customFormat="false" ht="12.8" hidden="false" customHeight="false" outlineLevel="0" collapsed="false">
      <c r="A38" s="38" t="n">
        <f aca="false">ROW()-1</f>
        <v>37</v>
      </c>
      <c r="B38" s="11" t="s">
        <v>35</v>
      </c>
      <c r="C38" s="16" t="s">
        <v>757</v>
      </c>
      <c r="D38" s="58"/>
      <c r="E38" s="17" t="n">
        <f aca="false">D38+1</f>
        <v>1</v>
      </c>
      <c r="F38" s="17" t="n">
        <f aca="false">E38+2</f>
        <v>3</v>
      </c>
      <c r="G38" s="17" t="n">
        <f aca="false">F38+3</f>
        <v>6</v>
      </c>
      <c r="H38" s="17" t="n">
        <f aca="false">G38+7</f>
        <v>13</v>
      </c>
      <c r="I38" s="17" t="n">
        <f aca="false">H38+14</f>
        <v>27</v>
      </c>
      <c r="J38" s="26" t="n">
        <f aca="false">I38+20</f>
        <v>47</v>
      </c>
    </row>
    <row r="39" customFormat="false" ht="12.8" hidden="false" customHeight="false" outlineLevel="0" collapsed="false">
      <c r="A39" s="38" t="n">
        <f aca="false">ROW()-1</f>
        <v>38</v>
      </c>
      <c r="B39" s="11" t="s">
        <v>758</v>
      </c>
      <c r="C39" s="16" t="s">
        <v>759</v>
      </c>
      <c r="D39" s="58"/>
      <c r="E39" s="17" t="n">
        <f aca="false">D39+1</f>
        <v>1</v>
      </c>
      <c r="F39" s="17" t="n">
        <f aca="false">E39+2</f>
        <v>3</v>
      </c>
      <c r="G39" s="17" t="n">
        <f aca="false">F39+3</f>
        <v>6</v>
      </c>
      <c r="H39" s="17" t="n">
        <f aca="false">G39+7</f>
        <v>13</v>
      </c>
      <c r="I39" s="17" t="n">
        <f aca="false">H39+14</f>
        <v>27</v>
      </c>
      <c r="J39" s="26" t="n">
        <f aca="false">I39+20</f>
        <v>47</v>
      </c>
    </row>
    <row r="40" customFormat="false" ht="12.8" hidden="false" customHeight="false" outlineLevel="0" collapsed="false">
      <c r="A40" s="38" t="n">
        <f aca="false">ROW()-1</f>
        <v>39</v>
      </c>
      <c r="B40" s="11" t="s">
        <v>760</v>
      </c>
      <c r="C40" s="16" t="s">
        <v>761</v>
      </c>
      <c r="D40" s="58"/>
      <c r="E40" s="17" t="n">
        <f aca="false">D40+1</f>
        <v>1</v>
      </c>
      <c r="F40" s="17" t="n">
        <f aca="false">E40+2</f>
        <v>3</v>
      </c>
      <c r="G40" s="17" t="n">
        <f aca="false">F40+3</f>
        <v>6</v>
      </c>
      <c r="H40" s="17" t="n">
        <f aca="false">G40+7</f>
        <v>13</v>
      </c>
      <c r="I40" s="17" t="n">
        <f aca="false">H40+14</f>
        <v>27</v>
      </c>
      <c r="J40" s="26" t="n">
        <f aca="false">I40+20</f>
        <v>47</v>
      </c>
    </row>
    <row r="41" customFormat="false" ht="12.8" hidden="false" customHeight="false" outlineLevel="0" collapsed="false">
      <c r="A41" s="38" t="n">
        <f aca="false">ROW()-1</f>
        <v>40</v>
      </c>
      <c r="B41" s="11" t="s">
        <v>762</v>
      </c>
      <c r="C41" s="16" t="s">
        <v>763</v>
      </c>
      <c r="D41" s="58"/>
      <c r="E41" s="17" t="n">
        <f aca="false">D41+1</f>
        <v>1</v>
      </c>
      <c r="F41" s="17" t="n">
        <f aca="false">E41+2</f>
        <v>3</v>
      </c>
      <c r="G41" s="17" t="n">
        <f aca="false">F41+3</f>
        <v>6</v>
      </c>
      <c r="H41" s="17" t="n">
        <f aca="false">G41+7</f>
        <v>13</v>
      </c>
      <c r="I41" s="17" t="n">
        <f aca="false">H41+14</f>
        <v>27</v>
      </c>
      <c r="J41" s="26" t="n">
        <f aca="false">I41+20</f>
        <v>47</v>
      </c>
    </row>
    <row r="42" customFormat="false" ht="12.8" hidden="false" customHeight="false" outlineLevel="0" collapsed="false">
      <c r="A42" s="38" t="n">
        <f aca="false">ROW()-1</f>
        <v>41</v>
      </c>
      <c r="B42" s="11" t="s">
        <v>764</v>
      </c>
      <c r="C42" s="16"/>
      <c r="D42" s="58"/>
      <c r="E42" s="17" t="n">
        <f aca="false">D42+1</f>
        <v>1</v>
      </c>
      <c r="F42" s="17" t="n">
        <f aca="false">E42+2</f>
        <v>3</v>
      </c>
      <c r="G42" s="17" t="n">
        <f aca="false">F42+3</f>
        <v>6</v>
      </c>
      <c r="H42" s="17" t="n">
        <f aca="false">G42+7</f>
        <v>13</v>
      </c>
      <c r="I42" s="17" t="n">
        <f aca="false">H42+14</f>
        <v>27</v>
      </c>
      <c r="J42" s="26" t="n">
        <f aca="false">I42+20</f>
        <v>47</v>
      </c>
    </row>
    <row r="43" customFormat="false" ht="12.8" hidden="false" customHeight="false" outlineLevel="0" collapsed="false">
      <c r="A43" s="38" t="n">
        <f aca="false">ROW()-1</f>
        <v>42</v>
      </c>
      <c r="B43" s="11" t="s">
        <v>765</v>
      </c>
      <c r="C43" s="16"/>
      <c r="D43" s="58"/>
      <c r="E43" s="17" t="n">
        <f aca="false">D43+1</f>
        <v>1</v>
      </c>
      <c r="F43" s="17" t="n">
        <f aca="false">E43+2</f>
        <v>3</v>
      </c>
      <c r="G43" s="17" t="n">
        <f aca="false">F43+3</f>
        <v>6</v>
      </c>
      <c r="H43" s="17" t="n">
        <f aca="false">G43+7</f>
        <v>13</v>
      </c>
      <c r="I43" s="17" t="n">
        <f aca="false">H43+14</f>
        <v>27</v>
      </c>
      <c r="J43" s="26" t="n">
        <f aca="false">I43+20</f>
        <v>47</v>
      </c>
    </row>
    <row r="44" customFormat="false" ht="12.8" hidden="false" customHeight="false" outlineLevel="0" collapsed="false">
      <c r="A44" s="38" t="n">
        <f aca="false">ROW()-1</f>
        <v>43</v>
      </c>
      <c r="B44" s="11" t="s">
        <v>766</v>
      </c>
      <c r="C44" s="16"/>
      <c r="D44" s="58"/>
      <c r="E44" s="17" t="n">
        <f aca="false">D44+1</f>
        <v>1</v>
      </c>
      <c r="F44" s="17" t="n">
        <f aca="false">E44+2</f>
        <v>3</v>
      </c>
      <c r="G44" s="17" t="n">
        <f aca="false">F44+3</f>
        <v>6</v>
      </c>
      <c r="H44" s="17" t="n">
        <f aca="false">G44+7</f>
        <v>13</v>
      </c>
      <c r="I44" s="17" t="n">
        <f aca="false">H44+14</f>
        <v>27</v>
      </c>
      <c r="J44" s="26" t="n">
        <f aca="false">I44+20</f>
        <v>47</v>
      </c>
    </row>
    <row r="45" customFormat="false" ht="12.8" hidden="false" customHeight="false" outlineLevel="0" collapsed="false">
      <c r="A45" s="38" t="n">
        <f aca="false">ROW()-1</f>
        <v>44</v>
      </c>
      <c r="B45" s="11" t="s">
        <v>767</v>
      </c>
      <c r="C45" s="16" t="s">
        <v>768</v>
      </c>
      <c r="D45" s="58"/>
      <c r="E45" s="17" t="n">
        <f aca="false">D45+1</f>
        <v>1</v>
      </c>
      <c r="F45" s="17" t="n">
        <f aca="false">E45+2</f>
        <v>3</v>
      </c>
      <c r="G45" s="17" t="n">
        <f aca="false">F45+3</f>
        <v>6</v>
      </c>
      <c r="H45" s="17" t="n">
        <f aca="false">G45+7</f>
        <v>13</v>
      </c>
      <c r="I45" s="17" t="n">
        <f aca="false">H45+14</f>
        <v>27</v>
      </c>
      <c r="J45" s="26" t="n">
        <f aca="false">I45+20</f>
        <v>47</v>
      </c>
    </row>
    <row r="46" customFormat="false" ht="12.8" hidden="false" customHeight="false" outlineLevel="0" collapsed="false">
      <c r="A46" s="38" t="n">
        <f aca="false">ROW()-1</f>
        <v>45</v>
      </c>
      <c r="B46" s="11" t="s">
        <v>769</v>
      </c>
      <c r="C46" s="16" t="s">
        <v>770</v>
      </c>
      <c r="D46" s="58"/>
      <c r="E46" s="17" t="n">
        <f aca="false">D46+1</f>
        <v>1</v>
      </c>
      <c r="F46" s="17" t="n">
        <f aca="false">E46+2</f>
        <v>3</v>
      </c>
      <c r="G46" s="17" t="n">
        <f aca="false">F46+3</f>
        <v>6</v>
      </c>
      <c r="H46" s="17" t="n">
        <f aca="false">G46+7</f>
        <v>13</v>
      </c>
      <c r="I46" s="17" t="n">
        <f aca="false">H46+14</f>
        <v>27</v>
      </c>
      <c r="J46" s="26" t="n">
        <f aca="false">I46+20</f>
        <v>47</v>
      </c>
    </row>
    <row r="47" customFormat="false" ht="12.8" hidden="false" customHeight="false" outlineLevel="0" collapsed="false">
      <c r="A47" s="38" t="n">
        <f aca="false">ROW()-1</f>
        <v>46</v>
      </c>
      <c r="B47" s="11" t="s">
        <v>771</v>
      </c>
      <c r="C47" s="16" t="s">
        <v>772</v>
      </c>
      <c r="D47" s="58"/>
      <c r="E47" s="17" t="n">
        <f aca="false">D47+1</f>
        <v>1</v>
      </c>
      <c r="F47" s="17" t="n">
        <f aca="false">E47+2</f>
        <v>3</v>
      </c>
      <c r="G47" s="17" t="n">
        <f aca="false">F47+3</f>
        <v>6</v>
      </c>
      <c r="H47" s="17" t="n">
        <f aca="false">G47+7</f>
        <v>13</v>
      </c>
      <c r="I47" s="17" t="n">
        <f aca="false">H47+14</f>
        <v>27</v>
      </c>
      <c r="J47" s="26" t="n">
        <f aca="false">I47+20</f>
        <v>47</v>
      </c>
    </row>
    <row r="48" customFormat="false" ht="12.8" hidden="false" customHeight="false" outlineLevel="0" collapsed="false">
      <c r="A48" s="38" t="n">
        <f aca="false">ROW()-1</f>
        <v>47</v>
      </c>
      <c r="B48" s="11" t="s">
        <v>773</v>
      </c>
      <c r="C48" s="16" t="s">
        <v>774</v>
      </c>
      <c r="D48" s="58"/>
      <c r="E48" s="17" t="n">
        <f aca="false">D48+1</f>
        <v>1</v>
      </c>
      <c r="F48" s="17" t="n">
        <f aca="false">E48+2</f>
        <v>3</v>
      </c>
      <c r="G48" s="17" t="n">
        <f aca="false">F48+3</f>
        <v>6</v>
      </c>
      <c r="H48" s="17" t="n">
        <f aca="false">G48+7</f>
        <v>13</v>
      </c>
      <c r="I48" s="17" t="n">
        <f aca="false">H48+14</f>
        <v>27</v>
      </c>
      <c r="J48" s="26" t="n">
        <f aca="false">I48+20</f>
        <v>47</v>
      </c>
    </row>
    <row r="49" customFormat="false" ht="12.8" hidden="false" customHeight="false" outlineLevel="0" collapsed="false">
      <c r="A49" s="38" t="n">
        <f aca="false">ROW()-1</f>
        <v>48</v>
      </c>
      <c r="B49" s="11" t="s">
        <v>775</v>
      </c>
      <c r="C49" s="16" t="s">
        <v>776</v>
      </c>
      <c r="D49" s="58"/>
      <c r="E49" s="17" t="n">
        <f aca="false">D49+1</f>
        <v>1</v>
      </c>
      <c r="F49" s="17" t="n">
        <f aca="false">E49+2</f>
        <v>3</v>
      </c>
      <c r="G49" s="17" t="n">
        <f aca="false">F49+3</f>
        <v>6</v>
      </c>
      <c r="H49" s="17" t="n">
        <f aca="false">G49+7</f>
        <v>13</v>
      </c>
      <c r="I49" s="17" t="n">
        <f aca="false">H49+14</f>
        <v>27</v>
      </c>
      <c r="J49" s="26" t="n">
        <f aca="false">I49+20</f>
        <v>47</v>
      </c>
    </row>
    <row r="50" customFormat="false" ht="12.8" hidden="false" customHeight="false" outlineLevel="0" collapsed="false">
      <c r="A50" s="38" t="n">
        <f aca="false">ROW()-1</f>
        <v>49</v>
      </c>
      <c r="B50" s="11" t="s">
        <v>777</v>
      </c>
      <c r="C50" s="16" t="s">
        <v>778</v>
      </c>
      <c r="D50" s="58"/>
      <c r="E50" s="17" t="n">
        <f aca="false">D50+1</f>
        <v>1</v>
      </c>
      <c r="F50" s="17" t="n">
        <f aca="false">E50+2</f>
        <v>3</v>
      </c>
      <c r="G50" s="17" t="n">
        <f aca="false">F50+3</f>
        <v>6</v>
      </c>
      <c r="H50" s="17" t="n">
        <f aca="false">G50+7</f>
        <v>13</v>
      </c>
      <c r="I50" s="17" t="n">
        <f aca="false">H50+14</f>
        <v>27</v>
      </c>
      <c r="J50" s="26" t="n">
        <f aca="false">I50+20</f>
        <v>47</v>
      </c>
    </row>
    <row r="51" customFormat="false" ht="12.8" hidden="false" customHeight="false" outlineLevel="0" collapsed="false">
      <c r="A51" s="38" t="n">
        <f aca="false">ROW()-1</f>
        <v>50</v>
      </c>
      <c r="B51" s="11" t="s">
        <v>779</v>
      </c>
      <c r="C51" s="16" t="s">
        <v>780</v>
      </c>
      <c r="D51" s="58"/>
      <c r="E51" s="17" t="n">
        <f aca="false">D51+1</f>
        <v>1</v>
      </c>
      <c r="F51" s="17" t="n">
        <f aca="false">E51+2</f>
        <v>3</v>
      </c>
      <c r="G51" s="17" t="n">
        <f aca="false">F51+3</f>
        <v>6</v>
      </c>
      <c r="H51" s="17" t="n">
        <f aca="false">G51+7</f>
        <v>13</v>
      </c>
      <c r="I51" s="17" t="n">
        <f aca="false">H51+14</f>
        <v>27</v>
      </c>
      <c r="J51" s="26" t="n">
        <f aca="false">I51+20</f>
        <v>47</v>
      </c>
    </row>
    <row r="52" customFormat="false" ht="12.8" hidden="false" customHeight="false" outlineLevel="0" collapsed="false">
      <c r="A52" s="38" t="n">
        <f aca="false">ROW()-1</f>
        <v>51</v>
      </c>
      <c r="B52" s="11" t="s">
        <v>781</v>
      </c>
      <c r="C52" s="16" t="s">
        <v>782</v>
      </c>
      <c r="D52" s="58"/>
      <c r="E52" s="17" t="n">
        <f aca="false">D52+1</f>
        <v>1</v>
      </c>
      <c r="F52" s="17" t="n">
        <f aca="false">E52+2</f>
        <v>3</v>
      </c>
      <c r="G52" s="17" t="n">
        <f aca="false">F52+3</f>
        <v>6</v>
      </c>
      <c r="H52" s="17" t="n">
        <f aca="false">G52+7</f>
        <v>13</v>
      </c>
      <c r="I52" s="17" t="n">
        <f aca="false">H52+14</f>
        <v>27</v>
      </c>
      <c r="J52" s="26" t="n">
        <f aca="false">I52+20</f>
        <v>47</v>
      </c>
    </row>
    <row r="53" customFormat="false" ht="12.8" hidden="false" customHeight="false" outlineLevel="0" collapsed="false">
      <c r="A53" s="38" t="n">
        <f aca="false">ROW()-1</f>
        <v>52</v>
      </c>
      <c r="B53" s="11" t="s">
        <v>783</v>
      </c>
      <c r="C53" s="16" t="s">
        <v>784</v>
      </c>
      <c r="D53" s="58"/>
      <c r="E53" s="17" t="n">
        <f aca="false">D53+1</f>
        <v>1</v>
      </c>
      <c r="F53" s="17" t="n">
        <f aca="false">E53+2</f>
        <v>3</v>
      </c>
      <c r="G53" s="17" t="n">
        <f aca="false">F53+3</f>
        <v>6</v>
      </c>
      <c r="H53" s="17" t="n">
        <f aca="false">G53+7</f>
        <v>13</v>
      </c>
      <c r="I53" s="17" t="n">
        <f aca="false">H53+14</f>
        <v>27</v>
      </c>
      <c r="J53" s="26" t="n">
        <f aca="false">I53+20</f>
        <v>47</v>
      </c>
    </row>
    <row r="54" customFormat="false" ht="12.8" hidden="false" customHeight="false" outlineLevel="0" collapsed="false">
      <c r="A54" s="38" t="n">
        <f aca="false">ROW()-1</f>
        <v>53</v>
      </c>
      <c r="B54" s="11" t="s">
        <v>785</v>
      </c>
      <c r="C54" s="16" t="s">
        <v>786</v>
      </c>
      <c r="D54" s="58"/>
      <c r="E54" s="17" t="n">
        <f aca="false">D54+1</f>
        <v>1</v>
      </c>
      <c r="F54" s="17" t="n">
        <f aca="false">E54+2</f>
        <v>3</v>
      </c>
      <c r="G54" s="17" t="n">
        <f aca="false">F54+3</f>
        <v>6</v>
      </c>
      <c r="H54" s="17" t="n">
        <f aca="false">G54+7</f>
        <v>13</v>
      </c>
      <c r="I54" s="17" t="n">
        <f aca="false">H54+14</f>
        <v>27</v>
      </c>
      <c r="J54" s="26" t="n">
        <f aca="false">I54+20</f>
        <v>47</v>
      </c>
    </row>
    <row r="55" customFormat="false" ht="12.8" hidden="false" customHeight="false" outlineLevel="0" collapsed="false">
      <c r="A55" s="38" t="n">
        <f aca="false">ROW()-1</f>
        <v>54</v>
      </c>
      <c r="B55" s="11" t="s">
        <v>787</v>
      </c>
      <c r="C55" s="16" t="s">
        <v>788</v>
      </c>
      <c r="D55" s="58"/>
      <c r="E55" s="17" t="n">
        <f aca="false">D55+1</f>
        <v>1</v>
      </c>
      <c r="F55" s="17" t="n">
        <f aca="false">E55+2</f>
        <v>3</v>
      </c>
      <c r="G55" s="17" t="n">
        <f aca="false">F55+3</f>
        <v>6</v>
      </c>
      <c r="H55" s="17" t="n">
        <f aca="false">G55+7</f>
        <v>13</v>
      </c>
      <c r="I55" s="17" t="n">
        <f aca="false">H55+14</f>
        <v>27</v>
      </c>
      <c r="J55" s="26" t="n">
        <f aca="false">I55+20</f>
        <v>47</v>
      </c>
    </row>
    <row r="56" customFormat="false" ht="12.8" hidden="false" customHeight="false" outlineLevel="0" collapsed="false">
      <c r="A56" s="38" t="n">
        <f aca="false">ROW()-1</f>
        <v>55</v>
      </c>
      <c r="B56" s="11" t="s">
        <v>789</v>
      </c>
      <c r="C56" s="16" t="s">
        <v>790</v>
      </c>
      <c r="D56" s="58"/>
      <c r="E56" s="17" t="n">
        <f aca="false">D56+1</f>
        <v>1</v>
      </c>
      <c r="F56" s="17" t="n">
        <f aca="false">E56+2</f>
        <v>3</v>
      </c>
      <c r="G56" s="17" t="n">
        <f aca="false">F56+3</f>
        <v>6</v>
      </c>
      <c r="H56" s="17" t="n">
        <f aca="false">G56+7</f>
        <v>13</v>
      </c>
      <c r="I56" s="17" t="n">
        <f aca="false">H56+14</f>
        <v>27</v>
      </c>
      <c r="J56" s="26" t="n">
        <f aca="false">I56+20</f>
        <v>47</v>
      </c>
    </row>
    <row r="57" customFormat="false" ht="12.8" hidden="false" customHeight="false" outlineLevel="0" collapsed="false">
      <c r="A57" s="38" t="n">
        <f aca="false">ROW()-1</f>
        <v>56</v>
      </c>
      <c r="B57" s="11" t="s">
        <v>791</v>
      </c>
      <c r="C57" s="16" t="s">
        <v>792</v>
      </c>
      <c r="D57" s="58"/>
      <c r="E57" s="17" t="n">
        <f aca="false">D57+1</f>
        <v>1</v>
      </c>
      <c r="F57" s="17" t="n">
        <f aca="false">E57+2</f>
        <v>3</v>
      </c>
      <c r="G57" s="17" t="n">
        <f aca="false">F57+3</f>
        <v>6</v>
      </c>
      <c r="H57" s="17" t="n">
        <f aca="false">G57+7</f>
        <v>13</v>
      </c>
      <c r="I57" s="17" t="n">
        <f aca="false">H57+14</f>
        <v>27</v>
      </c>
      <c r="J57" s="26" t="n">
        <f aca="false">I57+20</f>
        <v>47</v>
      </c>
    </row>
    <row r="58" customFormat="false" ht="12.8" hidden="false" customHeight="false" outlineLevel="0" collapsed="false">
      <c r="A58" s="38" t="n">
        <f aca="false">ROW()-1</f>
        <v>57</v>
      </c>
      <c r="B58" s="11" t="s">
        <v>793</v>
      </c>
      <c r="C58" s="16" t="s">
        <v>794</v>
      </c>
      <c r="D58" s="58"/>
      <c r="E58" s="17" t="n">
        <f aca="false">D58+1</f>
        <v>1</v>
      </c>
      <c r="F58" s="17" t="n">
        <f aca="false">E58+2</f>
        <v>3</v>
      </c>
      <c r="G58" s="17" t="n">
        <f aca="false">F58+3</f>
        <v>6</v>
      </c>
      <c r="H58" s="17" t="n">
        <f aca="false">G58+7</f>
        <v>13</v>
      </c>
      <c r="I58" s="17" t="n">
        <f aca="false">H58+14</f>
        <v>27</v>
      </c>
      <c r="J58" s="26" t="n">
        <f aca="false">I58+20</f>
        <v>47</v>
      </c>
    </row>
    <row r="59" customFormat="false" ht="12.8" hidden="false" customHeight="false" outlineLevel="0" collapsed="false">
      <c r="A59" s="38" t="n">
        <f aca="false">ROW()-1</f>
        <v>58</v>
      </c>
      <c r="B59" s="11" t="s">
        <v>795</v>
      </c>
      <c r="C59" s="16" t="s">
        <v>796</v>
      </c>
      <c r="D59" s="58"/>
      <c r="E59" s="17" t="n">
        <f aca="false">D59+1</f>
        <v>1</v>
      </c>
      <c r="F59" s="17" t="n">
        <f aca="false">E59+2</f>
        <v>3</v>
      </c>
      <c r="G59" s="17" t="n">
        <f aca="false">F59+3</f>
        <v>6</v>
      </c>
      <c r="H59" s="17" t="n">
        <f aca="false">G59+7</f>
        <v>13</v>
      </c>
      <c r="I59" s="17" t="n">
        <f aca="false">H59+14</f>
        <v>27</v>
      </c>
      <c r="J59" s="26" t="n">
        <f aca="false">I59+20</f>
        <v>47</v>
      </c>
    </row>
    <row r="60" customFormat="false" ht="12.8" hidden="false" customHeight="false" outlineLevel="0" collapsed="false">
      <c r="A60" s="38" t="n">
        <f aca="false">ROW()-1</f>
        <v>59</v>
      </c>
      <c r="B60" s="11" t="s">
        <v>797</v>
      </c>
      <c r="C60" s="16"/>
      <c r="D60" s="58"/>
      <c r="E60" s="17" t="n">
        <f aca="false">D60+1</f>
        <v>1</v>
      </c>
      <c r="F60" s="17" t="n">
        <f aca="false">E60+2</f>
        <v>3</v>
      </c>
      <c r="G60" s="17" t="n">
        <f aca="false">F60+3</f>
        <v>6</v>
      </c>
      <c r="H60" s="17" t="n">
        <f aca="false">G60+7</f>
        <v>13</v>
      </c>
      <c r="I60" s="17" t="n">
        <f aca="false">H60+14</f>
        <v>27</v>
      </c>
      <c r="J60" s="26" t="n">
        <f aca="false">I60+20</f>
        <v>47</v>
      </c>
    </row>
    <row r="61" customFormat="false" ht="12.8" hidden="false" customHeight="false" outlineLevel="0" collapsed="false">
      <c r="A61" s="38" t="n">
        <f aca="false">ROW()-1</f>
        <v>60</v>
      </c>
      <c r="B61" s="11" t="s">
        <v>798</v>
      </c>
      <c r="C61" s="16" t="s">
        <v>799</v>
      </c>
      <c r="D61" s="58"/>
      <c r="E61" s="17" t="n">
        <f aca="false">D61+1</f>
        <v>1</v>
      </c>
      <c r="F61" s="17" t="n">
        <f aca="false">E61+2</f>
        <v>3</v>
      </c>
      <c r="G61" s="17" t="n">
        <f aca="false">F61+3</f>
        <v>6</v>
      </c>
      <c r="H61" s="17" t="n">
        <f aca="false">G61+7</f>
        <v>13</v>
      </c>
      <c r="I61" s="17" t="n">
        <f aca="false">H61+14</f>
        <v>27</v>
      </c>
      <c r="J61" s="26" t="n">
        <f aca="false">I61+20</f>
        <v>47</v>
      </c>
    </row>
    <row r="62" customFormat="false" ht="12.8" hidden="false" customHeight="false" outlineLevel="0" collapsed="false">
      <c r="A62" s="38" t="n">
        <f aca="false">ROW()-1</f>
        <v>61</v>
      </c>
      <c r="B62" s="11" t="s">
        <v>800</v>
      </c>
      <c r="C62" s="16" t="s">
        <v>801</v>
      </c>
      <c r="D62" s="58"/>
      <c r="E62" s="17" t="n">
        <f aca="false">D62+1</f>
        <v>1</v>
      </c>
      <c r="F62" s="17" t="n">
        <f aca="false">E62+2</f>
        <v>3</v>
      </c>
      <c r="G62" s="17" t="n">
        <f aca="false">F62+3</f>
        <v>6</v>
      </c>
      <c r="H62" s="17" t="n">
        <f aca="false">G62+7</f>
        <v>13</v>
      </c>
      <c r="I62" s="17" t="n">
        <f aca="false">H62+14</f>
        <v>27</v>
      </c>
      <c r="J62" s="26" t="n">
        <f aca="false">I62+20</f>
        <v>47</v>
      </c>
    </row>
    <row r="63" customFormat="false" ht="12.8" hidden="false" customHeight="false" outlineLevel="0" collapsed="false">
      <c r="A63" s="38" t="n">
        <f aca="false">ROW()-1</f>
        <v>62</v>
      </c>
      <c r="B63" s="11" t="s">
        <v>802</v>
      </c>
      <c r="C63" s="16" t="s">
        <v>803</v>
      </c>
      <c r="D63" s="58"/>
      <c r="E63" s="17" t="n">
        <f aca="false">D63+1</f>
        <v>1</v>
      </c>
      <c r="F63" s="17" t="n">
        <f aca="false">E63+2</f>
        <v>3</v>
      </c>
      <c r="G63" s="17" t="n">
        <f aca="false">F63+3</f>
        <v>6</v>
      </c>
      <c r="H63" s="17" t="n">
        <f aca="false">G63+7</f>
        <v>13</v>
      </c>
      <c r="I63" s="17" t="n">
        <f aca="false">H63+14</f>
        <v>27</v>
      </c>
      <c r="J63" s="26" t="n">
        <f aca="false">I63+20</f>
        <v>47</v>
      </c>
    </row>
    <row r="64" customFormat="false" ht="12.8" hidden="false" customHeight="false" outlineLevel="0" collapsed="false">
      <c r="A64" s="38" t="n">
        <f aca="false">ROW()-1</f>
        <v>63</v>
      </c>
      <c r="B64" s="11" t="s">
        <v>804</v>
      </c>
      <c r="C64" s="16" t="s">
        <v>805</v>
      </c>
      <c r="D64" s="58"/>
      <c r="E64" s="17" t="n">
        <f aca="false">D64+1</f>
        <v>1</v>
      </c>
      <c r="F64" s="17" t="n">
        <f aca="false">E64+2</f>
        <v>3</v>
      </c>
      <c r="G64" s="17" t="n">
        <f aca="false">F64+3</f>
        <v>6</v>
      </c>
      <c r="H64" s="17" t="n">
        <f aca="false">G64+7</f>
        <v>13</v>
      </c>
      <c r="I64" s="17" t="n">
        <f aca="false">H64+14</f>
        <v>27</v>
      </c>
      <c r="J64" s="26" t="n">
        <f aca="false">I64+20</f>
        <v>47</v>
      </c>
    </row>
    <row r="65" customFormat="false" ht="12.8" hidden="false" customHeight="false" outlineLevel="0" collapsed="false">
      <c r="A65" s="38" t="n">
        <f aca="false">ROW()-1</f>
        <v>64</v>
      </c>
      <c r="B65" s="11" t="s">
        <v>806</v>
      </c>
      <c r="C65" s="16" t="s">
        <v>807</v>
      </c>
      <c r="D65" s="58"/>
      <c r="E65" s="17" t="n">
        <f aca="false">D65+1</f>
        <v>1</v>
      </c>
      <c r="F65" s="17" t="n">
        <f aca="false">E65+2</f>
        <v>3</v>
      </c>
      <c r="G65" s="17" t="n">
        <f aca="false">F65+3</f>
        <v>6</v>
      </c>
      <c r="H65" s="17" t="n">
        <f aca="false">G65+7</f>
        <v>13</v>
      </c>
      <c r="I65" s="17" t="n">
        <f aca="false">H65+14</f>
        <v>27</v>
      </c>
      <c r="J65" s="26" t="n">
        <f aca="false">I65+20</f>
        <v>47</v>
      </c>
    </row>
    <row r="66" customFormat="false" ht="12.8" hidden="false" customHeight="false" outlineLevel="0" collapsed="false">
      <c r="A66" s="38" t="n">
        <f aca="false">ROW()-1</f>
        <v>65</v>
      </c>
      <c r="B66" s="11" t="s">
        <v>808</v>
      </c>
      <c r="C66" s="16" t="s">
        <v>809</v>
      </c>
      <c r="D66" s="58"/>
      <c r="E66" s="17" t="n">
        <f aca="false">D66+1</f>
        <v>1</v>
      </c>
      <c r="F66" s="17" t="n">
        <f aca="false">E66+2</f>
        <v>3</v>
      </c>
      <c r="G66" s="17" t="n">
        <f aca="false">F66+3</f>
        <v>6</v>
      </c>
      <c r="H66" s="17" t="n">
        <f aca="false">G66+7</f>
        <v>13</v>
      </c>
      <c r="I66" s="17" t="n">
        <f aca="false">H66+14</f>
        <v>27</v>
      </c>
      <c r="J66" s="26" t="n">
        <f aca="false">I66+20</f>
        <v>47</v>
      </c>
    </row>
    <row r="67" customFormat="false" ht="12.8" hidden="false" customHeight="false" outlineLevel="0" collapsed="false">
      <c r="A67" s="38" t="n">
        <f aca="false">ROW()-1</f>
        <v>66</v>
      </c>
      <c r="B67" s="61" t="s">
        <v>810</v>
      </c>
      <c r="C67" s="16" t="s">
        <v>811</v>
      </c>
      <c r="D67" s="58"/>
      <c r="E67" s="17"/>
      <c r="F67" s="17"/>
      <c r="G67" s="17"/>
      <c r="H67" s="17"/>
      <c r="I67" s="17"/>
      <c r="J67" s="26"/>
    </row>
    <row r="68" customFormat="false" ht="12.8" hidden="false" customHeight="false" outlineLevel="0" collapsed="false">
      <c r="A68" s="38" t="n">
        <f aca="false">ROW()-1</f>
        <v>67</v>
      </c>
      <c r="B68" s="61" t="s">
        <v>812</v>
      </c>
      <c r="C68" s="16" t="s">
        <v>813</v>
      </c>
      <c r="D68" s="58"/>
      <c r="E68" s="17"/>
      <c r="F68" s="17"/>
      <c r="G68" s="17"/>
      <c r="H68" s="17"/>
      <c r="I68" s="17"/>
      <c r="J68" s="26"/>
    </row>
    <row r="69" customFormat="false" ht="12.8" hidden="false" customHeight="false" outlineLevel="0" collapsed="false">
      <c r="A69" s="38" t="n">
        <f aca="false">ROW()-1</f>
        <v>68</v>
      </c>
      <c r="B69" s="61" t="s">
        <v>814</v>
      </c>
      <c r="C69" s="16" t="s">
        <v>815</v>
      </c>
      <c r="D69" s="58"/>
      <c r="E69" s="17"/>
      <c r="F69" s="17"/>
      <c r="G69" s="17"/>
      <c r="H69" s="17"/>
      <c r="I69" s="17"/>
      <c r="J69" s="26"/>
    </row>
    <row r="70" customFormat="false" ht="12.8" hidden="false" customHeight="false" outlineLevel="0" collapsed="false">
      <c r="A70" s="38" t="n">
        <f aca="false">ROW()-1</f>
        <v>69</v>
      </c>
      <c r="B70" s="61" t="s">
        <v>816</v>
      </c>
      <c r="C70" s="16" t="s">
        <v>817</v>
      </c>
      <c r="D70" s="58"/>
      <c r="E70" s="17"/>
      <c r="F70" s="17"/>
      <c r="G70" s="17"/>
      <c r="H70" s="17"/>
      <c r="I70" s="17"/>
      <c r="J70" s="26"/>
    </row>
    <row r="71" customFormat="false" ht="12.8" hidden="false" customHeight="false" outlineLevel="0" collapsed="false">
      <c r="A71" s="38" t="n">
        <f aca="false">ROW()-1</f>
        <v>70</v>
      </c>
      <c r="B71" s="61" t="s">
        <v>818</v>
      </c>
      <c r="C71" s="16" t="s">
        <v>819</v>
      </c>
      <c r="D71" s="58"/>
      <c r="E71" s="17"/>
      <c r="F71" s="17"/>
      <c r="G71" s="17"/>
      <c r="H71" s="17"/>
      <c r="I71" s="17"/>
      <c r="J71" s="26"/>
    </row>
    <row r="72" customFormat="false" ht="12.8" hidden="false" customHeight="false" outlineLevel="0" collapsed="false">
      <c r="A72" s="38" t="n">
        <f aca="false">ROW()-1</f>
        <v>71</v>
      </c>
      <c r="B72" s="61"/>
      <c r="C72" s="16"/>
      <c r="D72" s="58"/>
      <c r="E72" s="17"/>
      <c r="F72" s="17"/>
      <c r="G72" s="17"/>
      <c r="H72" s="17"/>
      <c r="I72" s="17"/>
      <c r="J72" s="26"/>
    </row>
    <row r="73" customFormat="false" ht="12.8" hidden="false" customHeight="false" outlineLevel="0" collapsed="false">
      <c r="A73" s="38" t="n">
        <f aca="false">ROW()-1</f>
        <v>72</v>
      </c>
      <c r="B73" s="61"/>
      <c r="C73" s="16"/>
      <c r="D73" s="58"/>
      <c r="E73" s="17"/>
      <c r="F73" s="17"/>
      <c r="G73" s="17"/>
      <c r="H73" s="17"/>
      <c r="I73" s="17"/>
      <c r="J73" s="26"/>
    </row>
    <row r="74" customFormat="false" ht="12.8" hidden="false" customHeight="false" outlineLevel="0" collapsed="false">
      <c r="A74" s="38" t="n">
        <f aca="false">ROW()-1</f>
        <v>73</v>
      </c>
      <c r="B74" s="61"/>
      <c r="C74" s="16"/>
      <c r="D74" s="58"/>
      <c r="E74" s="17"/>
      <c r="F74" s="17"/>
      <c r="G74" s="17"/>
      <c r="H74" s="17"/>
      <c r="I74" s="17"/>
      <c r="J74" s="26"/>
    </row>
    <row r="75" customFormat="false" ht="12.8" hidden="false" customHeight="false" outlineLevel="0" collapsed="false">
      <c r="A75" s="38" t="n">
        <f aca="false">ROW()-1</f>
        <v>74</v>
      </c>
      <c r="B75" s="61"/>
      <c r="C75" s="16"/>
      <c r="D75" s="58"/>
      <c r="E75" s="17"/>
      <c r="F75" s="17"/>
      <c r="G75" s="17"/>
      <c r="H75" s="17"/>
      <c r="I75" s="17"/>
      <c r="J75" s="26"/>
    </row>
    <row r="76" customFormat="false" ht="12.8" hidden="false" customHeight="false" outlineLevel="0" collapsed="false">
      <c r="A76" s="38" t="n">
        <f aca="false">ROW()-1</f>
        <v>75</v>
      </c>
      <c r="B76" s="61"/>
      <c r="C76" s="16"/>
      <c r="D76" s="58"/>
      <c r="E76" s="17"/>
      <c r="F76" s="17"/>
      <c r="G76" s="17"/>
      <c r="H76" s="17"/>
      <c r="I76" s="17"/>
      <c r="J76" s="26"/>
    </row>
    <row r="77" customFormat="false" ht="12.8" hidden="false" customHeight="false" outlineLevel="0" collapsed="false">
      <c r="A77" s="38" t="n">
        <f aca="false">ROW()-1</f>
        <v>76</v>
      </c>
      <c r="B77" s="61"/>
      <c r="C77" s="16"/>
      <c r="D77" s="58"/>
      <c r="E77" s="17"/>
      <c r="F77" s="17"/>
      <c r="G77" s="17"/>
      <c r="H77" s="17"/>
      <c r="I77" s="17"/>
      <c r="J77" s="26"/>
    </row>
    <row r="78" customFormat="false" ht="12.8" hidden="false" customHeight="false" outlineLevel="0" collapsed="false">
      <c r="A78" s="38" t="n">
        <f aca="false">ROW()-1</f>
        <v>77</v>
      </c>
      <c r="B78" s="61"/>
      <c r="C78" s="16"/>
      <c r="D78" s="58"/>
      <c r="E78" s="17"/>
      <c r="F78" s="17"/>
      <c r="G78" s="17"/>
      <c r="H78" s="17"/>
      <c r="I78" s="17"/>
      <c r="J78" s="26"/>
    </row>
    <row r="79" customFormat="false" ht="12.8" hidden="false" customHeight="false" outlineLevel="0" collapsed="false">
      <c r="A79" s="38" t="n">
        <f aca="false">ROW()-1</f>
        <v>78</v>
      </c>
      <c r="B79" s="61"/>
      <c r="C79" s="16"/>
      <c r="D79" s="58"/>
      <c r="E79" s="17"/>
      <c r="F79" s="17"/>
      <c r="G79" s="17"/>
      <c r="H79" s="17"/>
      <c r="I79" s="17"/>
      <c r="J79" s="26"/>
    </row>
    <row r="80" customFormat="false" ht="12.8" hidden="false" customHeight="false" outlineLevel="0" collapsed="false">
      <c r="A80" s="38" t="n">
        <f aca="false">ROW()-1</f>
        <v>79</v>
      </c>
      <c r="B80" s="61"/>
      <c r="C80" s="16"/>
      <c r="D80" s="58"/>
      <c r="E80" s="17"/>
      <c r="F80" s="17"/>
      <c r="G80" s="17"/>
      <c r="H80" s="17"/>
      <c r="I80" s="17"/>
      <c r="J80" s="26"/>
    </row>
    <row r="81" customFormat="false" ht="12.8" hidden="false" customHeight="false" outlineLevel="0" collapsed="false">
      <c r="A81" s="38" t="n">
        <f aca="false">ROW()-1</f>
        <v>80</v>
      </c>
      <c r="B81" s="61"/>
      <c r="C81" s="16"/>
      <c r="D81" s="58"/>
      <c r="E81" s="17"/>
      <c r="F81" s="17"/>
      <c r="G81" s="17"/>
      <c r="H81" s="17"/>
      <c r="I81" s="17"/>
      <c r="J81" s="26"/>
    </row>
    <row r="82" customFormat="false" ht="12.8" hidden="false" customHeight="false" outlineLevel="0" collapsed="false">
      <c r="A82" s="38" t="n">
        <f aca="false">ROW()-1</f>
        <v>81</v>
      </c>
      <c r="B82" s="61"/>
      <c r="C82" s="16"/>
      <c r="D82" s="58"/>
      <c r="E82" s="17"/>
      <c r="F82" s="17"/>
      <c r="G82" s="17"/>
      <c r="H82" s="17"/>
      <c r="I82" s="17"/>
      <c r="J82" s="26"/>
    </row>
    <row r="83" customFormat="false" ht="12.8" hidden="false" customHeight="false" outlineLevel="0" collapsed="false">
      <c r="A83" s="38" t="n">
        <f aca="false">ROW()-1</f>
        <v>82</v>
      </c>
      <c r="B83" s="61"/>
      <c r="C83" s="16"/>
      <c r="D83" s="58"/>
      <c r="E83" s="17"/>
      <c r="F83" s="17"/>
      <c r="G83" s="17"/>
      <c r="H83" s="17"/>
      <c r="I83" s="17"/>
      <c r="J83" s="26"/>
    </row>
    <row r="84" customFormat="false" ht="12.8" hidden="false" customHeight="false" outlineLevel="0" collapsed="false">
      <c r="A84" s="38" t="n">
        <f aca="false">ROW()-1</f>
        <v>83</v>
      </c>
      <c r="B84" s="61"/>
      <c r="C84" s="16"/>
      <c r="D84" s="58"/>
      <c r="E84" s="17"/>
      <c r="F84" s="17"/>
      <c r="G84" s="17"/>
      <c r="H84" s="17"/>
      <c r="I84" s="17"/>
      <c r="J84" s="26"/>
    </row>
    <row r="85" customFormat="false" ht="12.8" hidden="false" customHeight="false" outlineLevel="0" collapsed="false">
      <c r="A85" s="38" t="n">
        <f aca="false">ROW()-1</f>
        <v>84</v>
      </c>
      <c r="B85" s="61"/>
      <c r="C85" s="16"/>
      <c r="D85" s="58"/>
      <c r="E85" s="17"/>
      <c r="F85" s="17"/>
      <c r="G85" s="17"/>
      <c r="H85" s="17"/>
      <c r="I85" s="17"/>
      <c r="J85" s="26"/>
    </row>
    <row r="86" customFormat="false" ht="12.8" hidden="false" customHeight="false" outlineLevel="0" collapsed="false">
      <c r="A86" s="38" t="n">
        <f aca="false">ROW()-1</f>
        <v>85</v>
      </c>
      <c r="B86" s="61"/>
      <c r="C86" s="16"/>
      <c r="D86" s="58"/>
      <c r="E86" s="17"/>
      <c r="F86" s="17"/>
      <c r="G86" s="17"/>
      <c r="H86" s="17"/>
      <c r="I86" s="17"/>
      <c r="J86" s="26"/>
    </row>
    <row r="87" customFormat="false" ht="12.8" hidden="false" customHeight="false" outlineLevel="0" collapsed="false">
      <c r="A87" s="38" t="n">
        <f aca="false">ROW()-1</f>
        <v>86</v>
      </c>
      <c r="B87" s="61"/>
      <c r="C87" s="16"/>
      <c r="D87" s="58"/>
      <c r="E87" s="17"/>
      <c r="F87" s="17"/>
      <c r="G87" s="17"/>
      <c r="H87" s="17"/>
      <c r="I87" s="17"/>
      <c r="J87" s="26"/>
    </row>
    <row r="88" customFormat="false" ht="12.8" hidden="false" customHeight="false" outlineLevel="0" collapsed="false">
      <c r="A88" s="38" t="n">
        <f aca="false">ROW()-1</f>
        <v>87</v>
      </c>
      <c r="B88" s="61"/>
      <c r="C88" s="16"/>
      <c r="D88" s="58"/>
      <c r="E88" s="17"/>
      <c r="F88" s="17"/>
      <c r="G88" s="17"/>
      <c r="H88" s="17"/>
      <c r="I88" s="17"/>
      <c r="J88" s="26"/>
    </row>
    <row r="89" customFormat="false" ht="12.8" hidden="false" customHeight="false" outlineLevel="0" collapsed="false">
      <c r="A89" s="38" t="n">
        <f aca="false">ROW()-1</f>
        <v>88</v>
      </c>
      <c r="B89" s="61"/>
      <c r="C89" s="16"/>
      <c r="D89" s="58"/>
      <c r="E89" s="17"/>
      <c r="F89" s="17"/>
      <c r="G89" s="17"/>
      <c r="H89" s="17"/>
      <c r="I89" s="17"/>
      <c r="J89" s="26"/>
    </row>
    <row r="90" customFormat="false" ht="12.8" hidden="false" customHeight="false" outlineLevel="0" collapsed="false">
      <c r="A90" s="38" t="n">
        <f aca="false">ROW()-1</f>
        <v>89</v>
      </c>
      <c r="B90" s="61"/>
      <c r="C90" s="16"/>
      <c r="D90" s="58"/>
      <c r="E90" s="17"/>
      <c r="F90" s="17"/>
      <c r="G90" s="17"/>
      <c r="H90" s="17"/>
      <c r="I90" s="17"/>
      <c r="J90" s="26"/>
    </row>
    <row r="91" customFormat="false" ht="12.8" hidden="false" customHeight="false" outlineLevel="0" collapsed="false">
      <c r="A91" s="38" t="n">
        <f aca="false">ROW()-1</f>
        <v>90</v>
      </c>
      <c r="B91" s="61"/>
      <c r="C91" s="16"/>
      <c r="D91" s="58"/>
      <c r="E91" s="17"/>
      <c r="F91" s="17"/>
      <c r="G91" s="17"/>
      <c r="H91" s="17"/>
      <c r="I91" s="17"/>
      <c r="J91" s="26"/>
    </row>
    <row r="92" customFormat="false" ht="12.8" hidden="false" customHeight="false" outlineLevel="0" collapsed="false">
      <c r="A92" s="38" t="n">
        <f aca="false">ROW()-1</f>
        <v>91</v>
      </c>
      <c r="B92" s="61"/>
      <c r="C92" s="16"/>
      <c r="D92" s="58"/>
      <c r="E92" s="17"/>
      <c r="F92" s="17"/>
      <c r="G92" s="17"/>
      <c r="H92" s="17"/>
      <c r="I92" s="17"/>
      <c r="J92" s="26"/>
    </row>
    <row r="93" customFormat="false" ht="12.8" hidden="false" customHeight="false" outlineLevel="0" collapsed="false">
      <c r="A93" s="38" t="n">
        <f aca="false">ROW()-1</f>
        <v>92</v>
      </c>
      <c r="B93" s="61"/>
      <c r="C93" s="16"/>
      <c r="D93" s="58"/>
      <c r="E93" s="17"/>
      <c r="F93" s="17"/>
      <c r="G93" s="17"/>
      <c r="H93" s="17"/>
      <c r="I93" s="17"/>
      <c r="J93" s="26"/>
    </row>
    <row r="94" customFormat="false" ht="12.8" hidden="false" customHeight="false" outlineLevel="0" collapsed="false">
      <c r="A94" s="38" t="n">
        <f aca="false">ROW()-1</f>
        <v>93</v>
      </c>
      <c r="B94" s="61"/>
      <c r="C94" s="16"/>
      <c r="D94" s="58"/>
      <c r="E94" s="17"/>
      <c r="F94" s="17"/>
      <c r="G94" s="17"/>
      <c r="H94" s="17"/>
      <c r="I94" s="17"/>
      <c r="J94" s="26"/>
    </row>
    <row r="95" customFormat="false" ht="12.8" hidden="false" customHeight="false" outlineLevel="0" collapsed="false">
      <c r="A95" s="38" t="n">
        <f aca="false">ROW()-1</f>
        <v>94</v>
      </c>
      <c r="B95" s="61"/>
      <c r="C95" s="16"/>
      <c r="D95" s="58"/>
      <c r="E95" s="17"/>
      <c r="F95" s="17"/>
      <c r="G95" s="17"/>
      <c r="H95" s="17"/>
      <c r="I95" s="17"/>
      <c r="J95" s="26"/>
    </row>
    <row r="96" customFormat="false" ht="12.8" hidden="false" customHeight="false" outlineLevel="0" collapsed="false">
      <c r="A96" s="38" t="n">
        <f aca="false">ROW()-1</f>
        <v>95</v>
      </c>
      <c r="B96" s="61"/>
      <c r="C96" s="16"/>
      <c r="D96" s="58"/>
      <c r="E96" s="17"/>
      <c r="F96" s="17"/>
      <c r="G96" s="17"/>
      <c r="H96" s="17"/>
      <c r="I96" s="17"/>
      <c r="J96" s="26"/>
    </row>
    <row r="97" customFormat="false" ht="12.8" hidden="false" customHeight="false" outlineLevel="0" collapsed="false">
      <c r="A97" s="38" t="n">
        <f aca="false">ROW()-1</f>
        <v>96</v>
      </c>
      <c r="B97" s="61"/>
      <c r="C97" s="16"/>
      <c r="D97" s="58"/>
      <c r="E97" s="17"/>
      <c r="F97" s="17"/>
      <c r="G97" s="17"/>
      <c r="H97" s="17"/>
      <c r="I97" s="17"/>
      <c r="J97" s="26"/>
    </row>
    <row r="98" customFormat="false" ht="12.8" hidden="false" customHeight="false" outlineLevel="0" collapsed="false">
      <c r="A98" s="38" t="n">
        <f aca="false">ROW()-1</f>
        <v>97</v>
      </c>
      <c r="B98" s="61"/>
      <c r="C98" s="16"/>
      <c r="D98" s="58"/>
      <c r="E98" s="17"/>
      <c r="F98" s="17"/>
      <c r="G98" s="17"/>
      <c r="H98" s="17"/>
      <c r="I98" s="17"/>
      <c r="J98" s="26"/>
    </row>
    <row r="99" customFormat="false" ht="12.8" hidden="false" customHeight="false" outlineLevel="0" collapsed="false">
      <c r="A99" s="38" t="n">
        <f aca="false">ROW()-1</f>
        <v>98</v>
      </c>
      <c r="B99" s="61"/>
      <c r="C99" s="16"/>
      <c r="D99" s="58"/>
      <c r="E99" s="17"/>
      <c r="F99" s="17"/>
      <c r="G99" s="17"/>
      <c r="H99" s="17"/>
      <c r="I99" s="17"/>
      <c r="J99" s="26"/>
    </row>
    <row r="100" customFormat="false" ht="12.8" hidden="false" customHeight="false" outlineLevel="0" collapsed="false">
      <c r="A100" s="38" t="n">
        <f aca="false">ROW()-1</f>
        <v>99</v>
      </c>
      <c r="B100" s="61"/>
      <c r="C100" s="16"/>
      <c r="D100" s="58"/>
      <c r="E100" s="17"/>
      <c r="F100" s="17"/>
      <c r="G100" s="17"/>
      <c r="H100" s="17"/>
      <c r="I100" s="17"/>
      <c r="J100" s="26"/>
    </row>
    <row r="101" customFormat="false" ht="12.8" hidden="false" customHeight="false" outlineLevel="0" collapsed="false">
      <c r="A101" s="38" t="n">
        <f aca="false">ROW()-1</f>
        <v>100</v>
      </c>
      <c r="B101" s="61"/>
      <c r="C101" s="16"/>
      <c r="D101" s="58"/>
      <c r="E101" s="17"/>
      <c r="F101" s="17"/>
      <c r="G101" s="17"/>
      <c r="H101" s="17"/>
      <c r="I101" s="17"/>
      <c r="J101" s="26"/>
    </row>
    <row r="102" customFormat="false" ht="12.8" hidden="false" customHeight="false" outlineLevel="0" collapsed="false">
      <c r="A102" s="38" t="n">
        <f aca="false">ROW()-1</f>
        <v>101</v>
      </c>
      <c r="B102" s="61"/>
      <c r="C102" s="16"/>
      <c r="D102" s="58"/>
      <c r="E102" s="17"/>
      <c r="F102" s="17"/>
      <c r="G102" s="17"/>
      <c r="H102" s="17"/>
      <c r="I102" s="17"/>
      <c r="J102" s="26"/>
    </row>
    <row r="103" customFormat="false" ht="12.8" hidden="false" customHeight="false" outlineLevel="0" collapsed="false">
      <c r="A103" s="38" t="n">
        <f aca="false">ROW()-1</f>
        <v>102</v>
      </c>
      <c r="B103" s="61"/>
      <c r="C103" s="16"/>
      <c r="D103" s="58"/>
      <c r="E103" s="17"/>
      <c r="F103" s="17"/>
      <c r="G103" s="17"/>
      <c r="H103" s="17"/>
      <c r="I103" s="17"/>
      <c r="J103" s="26"/>
    </row>
    <row r="104" customFormat="false" ht="12.8" hidden="false" customHeight="false" outlineLevel="0" collapsed="false">
      <c r="A104" s="38" t="n">
        <f aca="false">ROW()-1</f>
        <v>103</v>
      </c>
      <c r="B104" s="61"/>
      <c r="C104" s="16"/>
      <c r="D104" s="58"/>
      <c r="E104" s="17"/>
      <c r="F104" s="17"/>
      <c r="G104" s="17"/>
      <c r="H104" s="17"/>
      <c r="I104" s="17"/>
      <c r="J104" s="26"/>
    </row>
    <row r="105" customFormat="false" ht="12.8" hidden="false" customHeight="false" outlineLevel="0" collapsed="false">
      <c r="A105" s="38" t="n">
        <f aca="false">ROW()-1</f>
        <v>104</v>
      </c>
      <c r="B105" s="61"/>
      <c r="C105" s="16"/>
      <c r="D105" s="58"/>
      <c r="E105" s="17"/>
      <c r="F105" s="17"/>
      <c r="G105" s="17"/>
      <c r="H105" s="17"/>
      <c r="I105" s="17"/>
      <c r="J105" s="26"/>
    </row>
    <row r="106" customFormat="false" ht="12.8" hidden="false" customHeight="false" outlineLevel="0" collapsed="false">
      <c r="A106" s="38" t="n">
        <f aca="false">ROW()-1</f>
        <v>105</v>
      </c>
      <c r="B106" s="61"/>
      <c r="C106" s="16"/>
      <c r="D106" s="58"/>
      <c r="E106" s="17"/>
      <c r="F106" s="17"/>
      <c r="G106" s="17"/>
      <c r="H106" s="17"/>
      <c r="I106" s="17"/>
      <c r="J106" s="26"/>
    </row>
    <row r="107" customFormat="false" ht="12.8" hidden="false" customHeight="false" outlineLevel="0" collapsed="false">
      <c r="A107" s="38" t="n">
        <f aca="false">ROW()-1</f>
        <v>106</v>
      </c>
      <c r="B107" s="61"/>
      <c r="C107" s="16"/>
      <c r="D107" s="58"/>
      <c r="E107" s="17"/>
      <c r="F107" s="17"/>
      <c r="G107" s="17"/>
      <c r="H107" s="17"/>
      <c r="I107" s="17"/>
      <c r="J107" s="26"/>
    </row>
    <row r="108" customFormat="false" ht="12.8" hidden="false" customHeight="false" outlineLevel="0" collapsed="false">
      <c r="A108" s="38" t="n">
        <f aca="false">ROW()-1</f>
        <v>107</v>
      </c>
      <c r="B108" s="61"/>
      <c r="C108" s="16"/>
      <c r="D108" s="58"/>
      <c r="E108" s="17"/>
      <c r="F108" s="17"/>
      <c r="G108" s="17"/>
      <c r="H108" s="17"/>
      <c r="I108" s="17"/>
      <c r="J108" s="26"/>
    </row>
    <row r="109" customFormat="false" ht="12.8" hidden="false" customHeight="false" outlineLevel="0" collapsed="false">
      <c r="A109" s="38" t="n">
        <f aca="false">ROW()-1</f>
        <v>108</v>
      </c>
      <c r="B109" s="61"/>
      <c r="C109" s="16"/>
      <c r="D109" s="58"/>
      <c r="E109" s="17"/>
      <c r="F109" s="17"/>
      <c r="G109" s="17"/>
      <c r="H109" s="17"/>
      <c r="I109" s="17"/>
      <c r="J109" s="26"/>
    </row>
    <row r="110" customFormat="false" ht="12.8" hidden="false" customHeight="false" outlineLevel="0" collapsed="false">
      <c r="A110" s="38" t="n">
        <f aca="false">ROW()-1</f>
        <v>109</v>
      </c>
      <c r="B110" s="61"/>
      <c r="C110" s="16"/>
      <c r="D110" s="58"/>
      <c r="E110" s="17"/>
      <c r="F110" s="17"/>
      <c r="G110" s="17"/>
      <c r="H110" s="17"/>
      <c r="I110" s="17"/>
      <c r="J110" s="26"/>
    </row>
    <row r="111" customFormat="false" ht="12.8" hidden="false" customHeight="false" outlineLevel="0" collapsed="false">
      <c r="A111" s="38" t="n">
        <f aca="false">ROW()-1</f>
        <v>110</v>
      </c>
      <c r="B111" s="61"/>
      <c r="C111" s="16"/>
      <c r="D111" s="58"/>
      <c r="E111" s="17"/>
      <c r="F111" s="17"/>
      <c r="G111" s="17"/>
      <c r="H111" s="17"/>
      <c r="I111" s="17"/>
      <c r="J111" s="26"/>
    </row>
    <row r="112" customFormat="false" ht="12.8" hidden="false" customHeight="false" outlineLevel="0" collapsed="false">
      <c r="A112" s="38" t="n">
        <f aca="false">ROW()-1</f>
        <v>111</v>
      </c>
      <c r="B112" s="61"/>
      <c r="C112" s="16"/>
      <c r="D112" s="58"/>
      <c r="E112" s="17"/>
      <c r="F112" s="17"/>
      <c r="G112" s="17"/>
      <c r="H112" s="17"/>
      <c r="I112" s="17"/>
      <c r="J112" s="26"/>
    </row>
    <row r="113" customFormat="false" ht="12.8" hidden="false" customHeight="false" outlineLevel="0" collapsed="false">
      <c r="A113" s="38" t="n">
        <f aca="false">ROW()-1</f>
        <v>112</v>
      </c>
      <c r="B113" s="61"/>
      <c r="C113" s="16"/>
      <c r="D113" s="58"/>
      <c r="E113" s="17"/>
      <c r="F113" s="17"/>
      <c r="G113" s="17"/>
      <c r="H113" s="17"/>
      <c r="I113" s="17"/>
      <c r="J113" s="26"/>
    </row>
    <row r="114" customFormat="false" ht="12.8" hidden="false" customHeight="false" outlineLevel="0" collapsed="false">
      <c r="A114" s="38" t="n">
        <f aca="false">ROW()-1</f>
        <v>113</v>
      </c>
      <c r="B114" s="61"/>
      <c r="C114" s="16"/>
      <c r="D114" s="58"/>
      <c r="E114" s="17"/>
      <c r="F114" s="17"/>
      <c r="G114" s="17"/>
      <c r="H114" s="17"/>
      <c r="I114" s="17"/>
      <c r="J114" s="26"/>
    </row>
    <row r="115" customFormat="false" ht="12.8" hidden="false" customHeight="false" outlineLevel="0" collapsed="false">
      <c r="A115" s="38" t="n">
        <f aca="false">ROW()-1</f>
        <v>114</v>
      </c>
      <c r="B115" s="61"/>
      <c r="C115" s="16"/>
      <c r="D115" s="58"/>
      <c r="E115" s="17"/>
      <c r="F115" s="17"/>
      <c r="G115" s="17"/>
      <c r="H115" s="17"/>
      <c r="I115" s="17"/>
      <c r="J115" s="26"/>
    </row>
    <row r="116" customFormat="false" ht="12.8" hidden="false" customHeight="false" outlineLevel="0" collapsed="false">
      <c r="A116" s="38" t="n">
        <f aca="false">ROW()-1</f>
        <v>115</v>
      </c>
      <c r="B116" s="61"/>
      <c r="C116" s="16"/>
      <c r="D116" s="58"/>
      <c r="E116" s="17"/>
      <c r="F116" s="17"/>
      <c r="G116" s="17"/>
      <c r="H116" s="17"/>
      <c r="I116" s="17"/>
      <c r="J116" s="26"/>
    </row>
    <row r="117" customFormat="false" ht="12.8" hidden="false" customHeight="false" outlineLevel="0" collapsed="false">
      <c r="A117" s="38" t="n">
        <f aca="false">ROW()-1</f>
        <v>116</v>
      </c>
      <c r="B117" s="61"/>
      <c r="C117" s="16"/>
      <c r="D117" s="58"/>
      <c r="E117" s="17"/>
      <c r="F117" s="17"/>
      <c r="G117" s="17"/>
      <c r="H117" s="17"/>
      <c r="I117" s="17"/>
      <c r="J117" s="26"/>
    </row>
    <row r="118" customFormat="false" ht="12.8" hidden="false" customHeight="false" outlineLevel="0" collapsed="false">
      <c r="A118" s="38" t="n">
        <f aca="false">ROW()-1</f>
        <v>117</v>
      </c>
      <c r="B118" s="61"/>
      <c r="C118" s="16"/>
      <c r="D118" s="58"/>
      <c r="E118" s="17"/>
      <c r="F118" s="17"/>
      <c r="G118" s="17"/>
      <c r="H118" s="17"/>
      <c r="I118" s="17"/>
      <c r="J118" s="26"/>
    </row>
    <row r="119" customFormat="false" ht="12.8" hidden="false" customHeight="false" outlineLevel="0" collapsed="false">
      <c r="A119" s="38" t="n">
        <f aca="false">ROW()-1</f>
        <v>118</v>
      </c>
      <c r="B119" s="61"/>
      <c r="C119" s="16"/>
      <c r="D119" s="58"/>
      <c r="E119" s="17"/>
      <c r="F119" s="17"/>
      <c r="G119" s="17"/>
      <c r="H119" s="17"/>
      <c r="I119" s="17"/>
      <c r="J119" s="26"/>
    </row>
    <row r="120" customFormat="false" ht="12.8" hidden="false" customHeight="false" outlineLevel="0" collapsed="false">
      <c r="A120" s="38" t="n">
        <f aca="false">ROW()-1</f>
        <v>119</v>
      </c>
      <c r="B120" s="61"/>
      <c r="C120" s="16"/>
      <c r="D120" s="58"/>
      <c r="E120" s="17"/>
      <c r="F120" s="17"/>
      <c r="G120" s="17"/>
      <c r="H120" s="17"/>
      <c r="I120" s="17"/>
      <c r="J120" s="26"/>
    </row>
    <row r="121" customFormat="false" ht="12.8" hidden="false" customHeight="false" outlineLevel="0" collapsed="false">
      <c r="A121" s="38" t="n">
        <f aca="false">ROW()-1</f>
        <v>120</v>
      </c>
      <c r="B121" s="61"/>
      <c r="C121" s="16"/>
      <c r="D121" s="58"/>
      <c r="E121" s="17"/>
      <c r="F121" s="17"/>
      <c r="G121" s="17"/>
      <c r="H121" s="17"/>
      <c r="I121" s="17"/>
      <c r="J121" s="26"/>
    </row>
    <row r="122" customFormat="false" ht="12.8" hidden="false" customHeight="false" outlineLevel="0" collapsed="false">
      <c r="A122" s="38" t="n">
        <f aca="false">ROW()-1</f>
        <v>121</v>
      </c>
      <c r="B122" s="61"/>
      <c r="C122" s="16"/>
      <c r="D122" s="58"/>
      <c r="E122" s="17"/>
      <c r="F122" s="17"/>
      <c r="G122" s="17"/>
      <c r="H122" s="17"/>
      <c r="I122" s="17"/>
      <c r="J122" s="26"/>
    </row>
    <row r="123" customFormat="false" ht="12.8" hidden="false" customHeight="false" outlineLevel="0" collapsed="false">
      <c r="A123" s="38" t="n">
        <f aca="false">ROW()-1</f>
        <v>122</v>
      </c>
      <c r="B123" s="61"/>
      <c r="C123" s="16"/>
      <c r="D123" s="58"/>
      <c r="E123" s="17"/>
      <c r="F123" s="17"/>
      <c r="G123" s="17"/>
      <c r="H123" s="17"/>
      <c r="I123" s="17"/>
      <c r="J123" s="26"/>
    </row>
    <row r="124" customFormat="false" ht="12.8" hidden="false" customHeight="false" outlineLevel="0" collapsed="false">
      <c r="A124" s="38" t="n">
        <f aca="false">ROW()-1</f>
        <v>123</v>
      </c>
      <c r="B124" s="61"/>
      <c r="C124" s="16"/>
      <c r="D124" s="58"/>
      <c r="E124" s="17"/>
      <c r="F124" s="17"/>
      <c r="G124" s="17"/>
      <c r="H124" s="17"/>
      <c r="I124" s="17"/>
      <c r="J124" s="26"/>
    </row>
    <row r="125" customFormat="false" ht="12.8" hidden="false" customHeight="false" outlineLevel="0" collapsed="false">
      <c r="A125" s="38" t="n">
        <f aca="false">ROW()-1</f>
        <v>124</v>
      </c>
      <c r="B125" s="61"/>
      <c r="C125" s="16"/>
      <c r="D125" s="58"/>
      <c r="E125" s="17"/>
      <c r="F125" s="17"/>
      <c r="G125" s="17"/>
      <c r="H125" s="17"/>
      <c r="I125" s="17"/>
      <c r="J125" s="26"/>
    </row>
    <row r="126" customFormat="false" ht="12.8" hidden="false" customHeight="false" outlineLevel="0" collapsed="false">
      <c r="A126" s="38" t="n">
        <f aca="false">ROW()-1</f>
        <v>125</v>
      </c>
      <c r="B126" s="61"/>
      <c r="C126" s="16"/>
      <c r="D126" s="58"/>
      <c r="E126" s="17"/>
      <c r="F126" s="17"/>
      <c r="G126" s="17"/>
      <c r="H126" s="17"/>
      <c r="I126" s="17"/>
      <c r="J126" s="26"/>
    </row>
    <row r="127" customFormat="false" ht="12.8" hidden="false" customHeight="false" outlineLevel="0" collapsed="false">
      <c r="A127" s="38" t="n">
        <f aca="false">ROW()-1</f>
        <v>126</v>
      </c>
      <c r="B127" s="61"/>
      <c r="C127" s="16"/>
      <c r="D127" s="58"/>
      <c r="E127" s="17"/>
      <c r="F127" s="17"/>
      <c r="G127" s="17"/>
      <c r="H127" s="17"/>
      <c r="I127" s="17"/>
      <c r="J127" s="26"/>
    </row>
    <row r="128" customFormat="false" ht="12.8" hidden="false" customHeight="false" outlineLevel="0" collapsed="false">
      <c r="A128" s="38" t="n">
        <f aca="false">ROW()-1</f>
        <v>127</v>
      </c>
      <c r="B128" s="61"/>
      <c r="C128" s="16"/>
      <c r="D128" s="58"/>
      <c r="E128" s="17"/>
      <c r="F128" s="17"/>
      <c r="G128" s="17"/>
      <c r="H128" s="17"/>
      <c r="I128" s="17"/>
      <c r="J128" s="26"/>
    </row>
    <row r="129" customFormat="false" ht="12.8" hidden="false" customHeight="false" outlineLevel="0" collapsed="false">
      <c r="A129" s="38" t="n">
        <f aca="false">ROW()-1</f>
        <v>128</v>
      </c>
      <c r="B129" s="61"/>
      <c r="C129" s="16"/>
      <c r="D129" s="58"/>
      <c r="E129" s="17"/>
      <c r="F129" s="17"/>
      <c r="G129" s="17"/>
      <c r="H129" s="17"/>
      <c r="I129" s="17"/>
      <c r="J129" s="26"/>
    </row>
    <row r="130" customFormat="false" ht="12.8" hidden="false" customHeight="false" outlineLevel="0" collapsed="false">
      <c r="A130" s="38" t="n">
        <f aca="false">ROW()-1</f>
        <v>129</v>
      </c>
      <c r="B130" s="61"/>
      <c r="C130" s="16"/>
      <c r="D130" s="58"/>
      <c r="E130" s="17"/>
      <c r="F130" s="17"/>
      <c r="G130" s="17"/>
      <c r="H130" s="17"/>
      <c r="I130" s="17"/>
      <c r="J130" s="26"/>
    </row>
    <row r="131" customFormat="false" ht="12.8" hidden="false" customHeight="false" outlineLevel="0" collapsed="false">
      <c r="A131" s="38" t="n">
        <f aca="false">ROW()-1</f>
        <v>130</v>
      </c>
      <c r="B131" s="61"/>
      <c r="C131" s="16"/>
      <c r="D131" s="58"/>
      <c r="E131" s="17"/>
      <c r="F131" s="17"/>
      <c r="G131" s="17"/>
      <c r="H131" s="17"/>
      <c r="I131" s="17"/>
      <c r="J131" s="26"/>
    </row>
    <row r="132" customFormat="false" ht="12.8" hidden="false" customHeight="false" outlineLevel="0" collapsed="false">
      <c r="A132" s="38" t="n">
        <f aca="false">ROW()-1</f>
        <v>131</v>
      </c>
      <c r="B132" s="61"/>
      <c r="C132" s="16"/>
      <c r="D132" s="58"/>
      <c r="E132" s="17"/>
      <c r="F132" s="17"/>
      <c r="G132" s="17"/>
      <c r="H132" s="17"/>
      <c r="I132" s="17"/>
      <c r="J132" s="26"/>
    </row>
    <row r="133" customFormat="false" ht="12.8" hidden="false" customHeight="false" outlineLevel="0" collapsed="false">
      <c r="A133" s="38" t="n">
        <f aca="false">ROW()-1</f>
        <v>132</v>
      </c>
      <c r="B133" s="61"/>
      <c r="C133" s="16"/>
      <c r="D133" s="58"/>
      <c r="E133" s="17"/>
      <c r="F133" s="17"/>
      <c r="G133" s="17"/>
      <c r="H133" s="17"/>
      <c r="I133" s="17"/>
      <c r="J133" s="26"/>
    </row>
    <row r="134" customFormat="false" ht="12.8" hidden="false" customHeight="false" outlineLevel="0" collapsed="false">
      <c r="A134" s="38" t="n">
        <f aca="false">ROW()-1</f>
        <v>133</v>
      </c>
      <c r="B134" s="61"/>
      <c r="C134" s="16"/>
      <c r="D134" s="58"/>
      <c r="E134" s="17"/>
      <c r="F134" s="17"/>
      <c r="G134" s="17"/>
      <c r="H134" s="17"/>
      <c r="I134" s="17"/>
      <c r="J134" s="26"/>
    </row>
    <row r="135" customFormat="false" ht="12.8" hidden="false" customHeight="false" outlineLevel="0" collapsed="false">
      <c r="A135" s="38" t="n">
        <f aca="false">ROW()-1</f>
        <v>134</v>
      </c>
      <c r="B135" s="61"/>
      <c r="C135" s="16"/>
      <c r="D135" s="58"/>
      <c r="E135" s="17"/>
      <c r="F135" s="17"/>
      <c r="G135" s="17"/>
      <c r="H135" s="17"/>
      <c r="I135" s="17"/>
      <c r="J135" s="26"/>
    </row>
    <row r="136" customFormat="false" ht="12.8" hidden="false" customHeight="false" outlineLevel="0" collapsed="false">
      <c r="A136" s="38" t="n">
        <f aca="false">ROW()-1</f>
        <v>135</v>
      </c>
      <c r="B136" s="61"/>
      <c r="C136" s="16"/>
      <c r="D136" s="58"/>
      <c r="E136" s="17"/>
      <c r="F136" s="17"/>
      <c r="G136" s="17"/>
      <c r="H136" s="17"/>
      <c r="I136" s="17"/>
      <c r="J136" s="26"/>
    </row>
    <row r="137" customFormat="false" ht="12.8" hidden="false" customHeight="false" outlineLevel="0" collapsed="false">
      <c r="A137" s="38" t="n">
        <f aca="false">ROW()-1</f>
        <v>136</v>
      </c>
      <c r="B137" s="61"/>
      <c r="C137" s="16"/>
      <c r="D137" s="58"/>
      <c r="E137" s="17"/>
      <c r="F137" s="17"/>
      <c r="G137" s="17"/>
      <c r="H137" s="17"/>
      <c r="I137" s="17"/>
      <c r="J137" s="26"/>
    </row>
    <row r="138" customFormat="false" ht="12.8" hidden="false" customHeight="false" outlineLevel="0" collapsed="false">
      <c r="A138" s="38" t="n">
        <f aca="false">ROW()-1</f>
        <v>137</v>
      </c>
      <c r="B138" s="61"/>
      <c r="C138" s="16"/>
      <c r="D138" s="58"/>
      <c r="E138" s="17"/>
      <c r="F138" s="17"/>
      <c r="G138" s="17"/>
      <c r="H138" s="17"/>
      <c r="I138" s="17"/>
      <c r="J138" s="26"/>
    </row>
    <row r="139" customFormat="false" ht="12.8" hidden="false" customHeight="false" outlineLevel="0" collapsed="false">
      <c r="A139" s="38" t="n">
        <f aca="false">ROW()-1</f>
        <v>138</v>
      </c>
      <c r="B139" s="61"/>
      <c r="C139" s="16"/>
      <c r="D139" s="58"/>
      <c r="E139" s="17"/>
      <c r="F139" s="17"/>
      <c r="G139" s="17"/>
      <c r="H139" s="17"/>
      <c r="I139" s="17"/>
      <c r="J139" s="26"/>
    </row>
    <row r="140" customFormat="false" ht="12.8" hidden="false" customHeight="false" outlineLevel="0" collapsed="false">
      <c r="A140" s="38" t="n">
        <f aca="false">ROW()-1</f>
        <v>139</v>
      </c>
      <c r="B140" s="61"/>
      <c r="C140" s="16"/>
      <c r="D140" s="58"/>
      <c r="E140" s="17"/>
      <c r="F140" s="17"/>
      <c r="G140" s="17"/>
      <c r="H140" s="17"/>
      <c r="I140" s="17"/>
      <c r="J140" s="26"/>
    </row>
    <row r="141" customFormat="false" ht="12.8" hidden="false" customHeight="false" outlineLevel="0" collapsed="false">
      <c r="A141" s="38" t="n">
        <f aca="false">ROW()-1</f>
        <v>140</v>
      </c>
      <c r="B141" s="61"/>
      <c r="C141" s="16"/>
      <c r="D141" s="58"/>
      <c r="E141" s="17"/>
      <c r="F141" s="17"/>
      <c r="G141" s="17"/>
      <c r="H141" s="17"/>
      <c r="I141" s="17"/>
      <c r="J141" s="26"/>
    </row>
    <row r="142" customFormat="false" ht="12.8" hidden="false" customHeight="false" outlineLevel="0" collapsed="false">
      <c r="A142" s="38" t="n">
        <f aca="false">ROW()-1</f>
        <v>141</v>
      </c>
      <c r="B142" s="61"/>
      <c r="C142" s="16"/>
      <c r="D142" s="58"/>
      <c r="E142" s="17"/>
      <c r="F142" s="17"/>
      <c r="G142" s="17"/>
      <c r="H142" s="17"/>
      <c r="I142" s="17"/>
      <c r="J142" s="26"/>
    </row>
    <row r="143" customFormat="false" ht="12.8" hidden="false" customHeight="false" outlineLevel="0" collapsed="false">
      <c r="A143" s="38" t="n">
        <f aca="false">ROW()-1</f>
        <v>142</v>
      </c>
      <c r="B143" s="61"/>
      <c r="C143" s="16"/>
      <c r="D143" s="58"/>
      <c r="E143" s="17"/>
      <c r="F143" s="17"/>
      <c r="G143" s="17"/>
      <c r="H143" s="17"/>
      <c r="I143" s="17"/>
      <c r="J143" s="26"/>
    </row>
    <row r="144" customFormat="false" ht="12.8" hidden="false" customHeight="false" outlineLevel="0" collapsed="false">
      <c r="A144" s="38" t="n">
        <f aca="false">ROW()-1</f>
        <v>143</v>
      </c>
      <c r="B144" s="61"/>
      <c r="C144" s="16"/>
      <c r="D144" s="58"/>
      <c r="E144" s="17"/>
      <c r="F144" s="17"/>
      <c r="G144" s="17"/>
      <c r="H144" s="17"/>
      <c r="I144" s="17"/>
      <c r="J144" s="26"/>
    </row>
    <row r="145" customFormat="false" ht="12.8" hidden="false" customHeight="false" outlineLevel="0" collapsed="false">
      <c r="A145" s="38" t="n">
        <f aca="false">ROW()-1</f>
        <v>144</v>
      </c>
      <c r="B145" s="61"/>
      <c r="C145" s="16"/>
      <c r="D145" s="58"/>
      <c r="E145" s="17"/>
      <c r="F145" s="17"/>
      <c r="G145" s="17"/>
      <c r="H145" s="17"/>
      <c r="I145" s="17"/>
      <c r="J145" s="26"/>
    </row>
    <row r="146" customFormat="false" ht="12.8" hidden="false" customHeight="false" outlineLevel="0" collapsed="false">
      <c r="A146" s="38" t="n">
        <f aca="false">ROW()-1</f>
        <v>145</v>
      </c>
      <c r="B146" s="61"/>
      <c r="C146" s="16"/>
      <c r="D146" s="58"/>
      <c r="E146" s="17"/>
      <c r="F146" s="17"/>
      <c r="G146" s="17"/>
      <c r="H146" s="17"/>
      <c r="I146" s="17"/>
      <c r="J146" s="26"/>
    </row>
    <row r="147" customFormat="false" ht="12.8" hidden="false" customHeight="false" outlineLevel="0" collapsed="false">
      <c r="A147" s="38" t="n">
        <f aca="false">ROW()-1</f>
        <v>146</v>
      </c>
      <c r="B147" s="61"/>
      <c r="C147" s="16"/>
      <c r="D147" s="58"/>
      <c r="E147" s="17"/>
      <c r="F147" s="17"/>
      <c r="G147" s="17"/>
      <c r="H147" s="17"/>
      <c r="I147" s="17"/>
      <c r="J147" s="26"/>
    </row>
    <row r="148" customFormat="false" ht="12.8" hidden="false" customHeight="false" outlineLevel="0" collapsed="false">
      <c r="A148" s="38" t="n">
        <f aca="false">ROW()-1</f>
        <v>147</v>
      </c>
      <c r="B148" s="61"/>
      <c r="C148" s="16"/>
      <c r="D148" s="58"/>
      <c r="E148" s="17"/>
      <c r="F148" s="17"/>
      <c r="G148" s="17"/>
      <c r="H148" s="17"/>
      <c r="I148" s="17"/>
      <c r="J148" s="26"/>
    </row>
    <row r="149" customFormat="false" ht="12.8" hidden="false" customHeight="false" outlineLevel="0" collapsed="false">
      <c r="A149" s="38" t="n">
        <f aca="false">ROW()-1</f>
        <v>148</v>
      </c>
      <c r="B149" s="61"/>
      <c r="C149" s="16"/>
      <c r="D149" s="58"/>
      <c r="E149" s="17"/>
      <c r="F149" s="17"/>
      <c r="G149" s="17"/>
      <c r="H149" s="17"/>
      <c r="I149" s="17"/>
      <c r="J149" s="26"/>
    </row>
    <row r="150" customFormat="false" ht="12.8" hidden="false" customHeight="false" outlineLevel="0" collapsed="false">
      <c r="A150" s="38" t="n">
        <f aca="false">ROW()-1</f>
        <v>149</v>
      </c>
      <c r="B150" s="61"/>
      <c r="C150" s="16"/>
      <c r="D150" s="58"/>
      <c r="E150" s="17"/>
      <c r="F150" s="17"/>
      <c r="G150" s="17"/>
      <c r="H150" s="17"/>
      <c r="I150" s="17"/>
      <c r="J150" s="26"/>
    </row>
    <row r="151" customFormat="false" ht="12.8" hidden="false" customHeight="false" outlineLevel="0" collapsed="false">
      <c r="A151" s="38" t="n">
        <f aca="false">ROW()-1</f>
        <v>150</v>
      </c>
      <c r="B151" s="61"/>
      <c r="C151" s="16"/>
      <c r="D151" s="58"/>
      <c r="E151" s="17"/>
      <c r="F151" s="17"/>
      <c r="G151" s="17"/>
      <c r="H151" s="17"/>
      <c r="I151" s="17"/>
      <c r="J151" s="26"/>
    </row>
    <row r="152" customFormat="false" ht="12.8" hidden="false" customHeight="false" outlineLevel="0" collapsed="false">
      <c r="A152" s="38" t="n">
        <f aca="false">ROW()-1</f>
        <v>151</v>
      </c>
      <c r="B152" s="61"/>
      <c r="C152" s="16"/>
      <c r="D152" s="58"/>
      <c r="E152" s="17"/>
      <c r="F152" s="17"/>
      <c r="G152" s="17"/>
      <c r="H152" s="17"/>
      <c r="I152" s="17"/>
      <c r="J152" s="26"/>
    </row>
    <row r="153" customFormat="false" ht="12.8" hidden="false" customHeight="false" outlineLevel="0" collapsed="false">
      <c r="A153" s="38" t="n">
        <f aca="false">ROW()-1</f>
        <v>152</v>
      </c>
      <c r="B153" s="61"/>
      <c r="C153" s="16"/>
      <c r="D153" s="58"/>
      <c r="E153" s="17"/>
      <c r="F153" s="17"/>
      <c r="G153" s="17"/>
      <c r="H153" s="17"/>
      <c r="I153" s="17"/>
      <c r="J153" s="26"/>
    </row>
    <row r="154" customFormat="false" ht="12.8" hidden="false" customHeight="false" outlineLevel="0" collapsed="false">
      <c r="A154" s="38" t="n">
        <f aca="false">ROW()-1</f>
        <v>153</v>
      </c>
      <c r="B154" s="61"/>
      <c r="C154" s="16"/>
      <c r="D154" s="58"/>
      <c r="E154" s="17"/>
      <c r="F154" s="17"/>
      <c r="G154" s="17"/>
      <c r="H154" s="17"/>
      <c r="I154" s="17"/>
      <c r="J154" s="26"/>
    </row>
    <row r="155" customFormat="false" ht="12.8" hidden="false" customHeight="false" outlineLevel="0" collapsed="false">
      <c r="A155" s="38" t="n">
        <f aca="false">ROW()-1</f>
        <v>154</v>
      </c>
      <c r="B155" s="61"/>
      <c r="C155" s="16"/>
      <c r="D155" s="58"/>
      <c r="E155" s="17"/>
      <c r="F155" s="17"/>
      <c r="G155" s="17"/>
      <c r="H155" s="17"/>
      <c r="I155" s="17"/>
      <c r="J155" s="26"/>
    </row>
    <row r="156" customFormat="false" ht="12.8" hidden="false" customHeight="false" outlineLevel="0" collapsed="false">
      <c r="A156" s="38" t="n">
        <f aca="false">ROW()-1</f>
        <v>155</v>
      </c>
      <c r="B156" s="61"/>
      <c r="C156" s="16"/>
      <c r="D156" s="58"/>
      <c r="E156" s="17"/>
      <c r="F156" s="17"/>
      <c r="G156" s="17"/>
      <c r="H156" s="17"/>
      <c r="I156" s="17"/>
      <c r="J156" s="26"/>
    </row>
    <row r="157" customFormat="false" ht="12.8" hidden="false" customHeight="false" outlineLevel="0" collapsed="false">
      <c r="A157" s="38" t="n">
        <f aca="false">ROW()-1</f>
        <v>156</v>
      </c>
      <c r="B157" s="61"/>
      <c r="C157" s="16"/>
      <c r="D157" s="58"/>
      <c r="E157" s="17"/>
      <c r="F157" s="17"/>
      <c r="G157" s="17"/>
      <c r="H157" s="17"/>
      <c r="I157" s="17"/>
      <c r="J157" s="26"/>
    </row>
    <row r="158" customFormat="false" ht="12.8" hidden="false" customHeight="false" outlineLevel="0" collapsed="false">
      <c r="A158" s="38" t="n">
        <f aca="false">ROW()-1</f>
        <v>157</v>
      </c>
      <c r="B158" s="61"/>
      <c r="C158" s="16"/>
      <c r="D158" s="58"/>
      <c r="E158" s="17"/>
      <c r="F158" s="17"/>
      <c r="G158" s="17"/>
      <c r="H158" s="17"/>
      <c r="I158" s="17"/>
      <c r="J158" s="26"/>
    </row>
    <row r="159" customFormat="false" ht="12.8" hidden="false" customHeight="false" outlineLevel="0" collapsed="false">
      <c r="A159" s="38" t="n">
        <f aca="false">ROW()-1</f>
        <v>158</v>
      </c>
      <c r="B159" s="61"/>
      <c r="C159" s="16"/>
      <c r="D159" s="58"/>
      <c r="E159" s="17"/>
      <c r="F159" s="17"/>
      <c r="G159" s="17"/>
      <c r="H159" s="17"/>
      <c r="I159" s="17"/>
      <c r="J159" s="26"/>
    </row>
    <row r="160" customFormat="false" ht="12.8" hidden="false" customHeight="false" outlineLevel="0" collapsed="false">
      <c r="A160" s="38" t="n">
        <f aca="false">ROW()-1</f>
        <v>159</v>
      </c>
      <c r="B160" s="61"/>
      <c r="C160" s="16"/>
      <c r="D160" s="58"/>
      <c r="E160" s="17"/>
      <c r="F160" s="17"/>
      <c r="G160" s="17"/>
      <c r="H160" s="17"/>
      <c r="I160" s="17"/>
      <c r="J160" s="26"/>
    </row>
    <row r="161" customFormat="false" ht="12.8" hidden="false" customHeight="false" outlineLevel="0" collapsed="false">
      <c r="A161" s="38" t="n">
        <f aca="false">ROW()-1</f>
        <v>160</v>
      </c>
      <c r="B161" s="61"/>
      <c r="C161" s="16"/>
      <c r="D161" s="58"/>
      <c r="E161" s="17"/>
      <c r="F161" s="17"/>
      <c r="G161" s="17"/>
      <c r="H161" s="17"/>
      <c r="I161" s="17"/>
      <c r="J161" s="26"/>
    </row>
    <row r="162" customFormat="false" ht="12.8" hidden="false" customHeight="false" outlineLevel="0" collapsed="false">
      <c r="A162" s="38" t="n">
        <f aca="false">ROW()-1</f>
        <v>161</v>
      </c>
      <c r="B162" s="61"/>
      <c r="C162" s="16"/>
      <c r="D162" s="58"/>
      <c r="E162" s="17"/>
      <c r="F162" s="17"/>
      <c r="G162" s="17"/>
      <c r="H162" s="17"/>
      <c r="I162" s="17"/>
      <c r="J162" s="26"/>
    </row>
    <row r="163" customFormat="false" ht="12.8" hidden="false" customHeight="false" outlineLevel="0" collapsed="false">
      <c r="A163" s="38" t="n">
        <f aca="false">ROW()-1</f>
        <v>162</v>
      </c>
      <c r="B163" s="61"/>
      <c r="C163" s="16"/>
      <c r="D163" s="58"/>
      <c r="E163" s="17"/>
      <c r="F163" s="17"/>
      <c r="G163" s="17"/>
      <c r="H163" s="17"/>
      <c r="I163" s="17"/>
      <c r="J163" s="26"/>
    </row>
    <row r="164" customFormat="false" ht="12.8" hidden="false" customHeight="false" outlineLevel="0" collapsed="false">
      <c r="A164" s="38" t="n">
        <f aca="false">ROW()-1</f>
        <v>163</v>
      </c>
      <c r="B164" s="61"/>
      <c r="C164" s="16"/>
      <c r="D164" s="58"/>
      <c r="E164" s="17"/>
      <c r="F164" s="17"/>
      <c r="G164" s="17"/>
      <c r="H164" s="17"/>
      <c r="I164" s="17"/>
      <c r="J164" s="26"/>
    </row>
    <row r="165" customFormat="false" ht="12.8" hidden="false" customHeight="false" outlineLevel="0" collapsed="false">
      <c r="A165" s="38" t="n">
        <f aca="false">ROW()-1</f>
        <v>164</v>
      </c>
      <c r="B165" s="61"/>
      <c r="C165" s="16"/>
      <c r="D165" s="58"/>
      <c r="E165" s="17"/>
      <c r="F165" s="17"/>
      <c r="G165" s="17"/>
      <c r="H165" s="17"/>
      <c r="I165" s="17"/>
      <c r="J165" s="26"/>
    </row>
    <row r="166" customFormat="false" ht="12.8" hidden="false" customHeight="false" outlineLevel="0" collapsed="false">
      <c r="A166" s="38" t="n">
        <f aca="false">ROW()-1</f>
        <v>165</v>
      </c>
      <c r="B166" s="61"/>
      <c r="C166" s="16"/>
      <c r="D166" s="58"/>
      <c r="E166" s="17"/>
      <c r="F166" s="17"/>
      <c r="G166" s="17"/>
      <c r="H166" s="17"/>
      <c r="I166" s="17"/>
      <c r="J166" s="26"/>
    </row>
    <row r="167" customFormat="false" ht="12.8" hidden="false" customHeight="false" outlineLevel="0" collapsed="false">
      <c r="A167" s="38" t="n">
        <f aca="false">ROW()-1</f>
        <v>166</v>
      </c>
      <c r="B167" s="61"/>
      <c r="C167" s="16"/>
      <c r="D167" s="58"/>
      <c r="E167" s="17"/>
      <c r="F167" s="17"/>
      <c r="G167" s="17"/>
      <c r="H167" s="17"/>
      <c r="I167" s="17"/>
      <c r="J167" s="26"/>
    </row>
    <row r="168" customFormat="false" ht="12.8" hidden="false" customHeight="false" outlineLevel="0" collapsed="false">
      <c r="A168" s="38" t="n">
        <f aca="false">ROW()-1</f>
        <v>167</v>
      </c>
      <c r="B168" s="61"/>
      <c r="C168" s="16"/>
      <c r="D168" s="58"/>
      <c r="E168" s="17"/>
      <c r="F168" s="17"/>
      <c r="G168" s="17"/>
      <c r="H168" s="17"/>
      <c r="I168" s="17"/>
      <c r="J168" s="26"/>
    </row>
    <row r="169" customFormat="false" ht="12.8" hidden="false" customHeight="false" outlineLevel="0" collapsed="false">
      <c r="A169" s="38" t="n">
        <f aca="false">ROW()-1</f>
        <v>168</v>
      </c>
      <c r="B169" s="61"/>
      <c r="C169" s="16"/>
      <c r="D169" s="58"/>
      <c r="E169" s="17"/>
      <c r="F169" s="17"/>
      <c r="G169" s="17"/>
      <c r="H169" s="17"/>
      <c r="I169" s="17"/>
      <c r="J169" s="26"/>
    </row>
    <row r="170" customFormat="false" ht="12.8" hidden="false" customHeight="false" outlineLevel="0" collapsed="false">
      <c r="A170" s="38" t="n">
        <f aca="false">ROW()-1</f>
        <v>169</v>
      </c>
      <c r="B170" s="61"/>
      <c r="C170" s="16"/>
      <c r="D170" s="58"/>
      <c r="E170" s="17"/>
      <c r="F170" s="17"/>
      <c r="G170" s="17"/>
      <c r="H170" s="17"/>
      <c r="I170" s="17"/>
      <c r="J170" s="26"/>
    </row>
    <row r="171" customFormat="false" ht="12.8" hidden="false" customHeight="false" outlineLevel="0" collapsed="false">
      <c r="A171" s="38" t="n">
        <f aca="false">ROW()-1</f>
        <v>170</v>
      </c>
      <c r="B171" s="61"/>
      <c r="C171" s="16"/>
      <c r="D171" s="58"/>
      <c r="E171" s="17"/>
      <c r="F171" s="17"/>
      <c r="G171" s="17"/>
      <c r="H171" s="17"/>
      <c r="I171" s="17"/>
      <c r="J171" s="26"/>
    </row>
    <row r="172" customFormat="false" ht="12.8" hidden="false" customHeight="false" outlineLevel="0" collapsed="false">
      <c r="A172" s="38" t="n">
        <f aca="false">ROW()-1</f>
        <v>171</v>
      </c>
      <c r="B172" s="61"/>
      <c r="C172" s="16"/>
      <c r="D172" s="58"/>
      <c r="E172" s="17"/>
      <c r="F172" s="17"/>
      <c r="G172" s="17"/>
      <c r="H172" s="17"/>
      <c r="I172" s="17"/>
      <c r="J172" s="26"/>
    </row>
    <row r="173" customFormat="false" ht="12.8" hidden="false" customHeight="false" outlineLevel="0" collapsed="false">
      <c r="A173" s="38" t="n">
        <f aca="false">ROW()-1</f>
        <v>172</v>
      </c>
      <c r="B173" s="61"/>
      <c r="C173" s="16"/>
      <c r="D173" s="58"/>
      <c r="E173" s="17"/>
      <c r="F173" s="17"/>
      <c r="G173" s="17"/>
      <c r="H173" s="17"/>
      <c r="I173" s="17"/>
      <c r="J173" s="26"/>
    </row>
    <row r="174" customFormat="false" ht="12.8" hidden="false" customHeight="false" outlineLevel="0" collapsed="false">
      <c r="A174" s="38" t="n">
        <f aca="false">ROW()-1</f>
        <v>173</v>
      </c>
      <c r="B174" s="61"/>
      <c r="C174" s="16"/>
      <c r="D174" s="58"/>
      <c r="E174" s="17"/>
      <c r="F174" s="17"/>
      <c r="G174" s="17"/>
      <c r="H174" s="17"/>
      <c r="I174" s="17"/>
      <c r="J174" s="26"/>
    </row>
    <row r="175" customFormat="false" ht="12.8" hidden="false" customHeight="false" outlineLevel="0" collapsed="false">
      <c r="A175" s="38" t="n">
        <f aca="false">ROW()-1</f>
        <v>174</v>
      </c>
      <c r="B175" s="61"/>
      <c r="C175" s="16"/>
      <c r="D175" s="58"/>
      <c r="E175" s="17"/>
      <c r="F175" s="17"/>
      <c r="G175" s="17"/>
      <c r="H175" s="17"/>
      <c r="I175" s="17"/>
      <c r="J175" s="26"/>
    </row>
    <row r="176" customFormat="false" ht="12.8" hidden="false" customHeight="false" outlineLevel="0" collapsed="false">
      <c r="A176" s="38" t="n">
        <f aca="false">ROW()-1</f>
        <v>175</v>
      </c>
      <c r="B176" s="61"/>
      <c r="C176" s="16"/>
      <c r="D176" s="58"/>
      <c r="E176" s="17"/>
      <c r="F176" s="17"/>
      <c r="G176" s="17"/>
      <c r="H176" s="17"/>
      <c r="I176" s="17"/>
      <c r="J176" s="26"/>
    </row>
    <row r="177" customFormat="false" ht="12.8" hidden="false" customHeight="false" outlineLevel="0" collapsed="false">
      <c r="A177" s="38" t="n">
        <f aca="false">ROW()-1</f>
        <v>176</v>
      </c>
      <c r="B177" s="61"/>
      <c r="C177" s="16"/>
      <c r="D177" s="58"/>
      <c r="E177" s="17"/>
      <c r="F177" s="17"/>
      <c r="G177" s="17"/>
      <c r="H177" s="17"/>
      <c r="I177" s="17"/>
      <c r="J177" s="26"/>
    </row>
    <row r="178" customFormat="false" ht="12.8" hidden="false" customHeight="false" outlineLevel="0" collapsed="false">
      <c r="A178" s="38" t="n">
        <f aca="false">ROW()-1</f>
        <v>177</v>
      </c>
      <c r="B178" s="61"/>
      <c r="C178" s="16"/>
      <c r="D178" s="58"/>
      <c r="E178" s="17"/>
      <c r="F178" s="17"/>
      <c r="G178" s="17"/>
      <c r="H178" s="17"/>
      <c r="I178" s="17"/>
      <c r="J178" s="26"/>
    </row>
    <row r="179" customFormat="false" ht="12.8" hidden="false" customHeight="false" outlineLevel="0" collapsed="false">
      <c r="A179" s="38" t="n">
        <f aca="false">ROW()-1</f>
        <v>178</v>
      </c>
      <c r="B179" s="61"/>
      <c r="C179" s="16"/>
      <c r="D179" s="58"/>
      <c r="E179" s="17"/>
      <c r="F179" s="17"/>
      <c r="G179" s="17"/>
      <c r="H179" s="17"/>
      <c r="I179" s="17"/>
      <c r="J179" s="26"/>
    </row>
    <row r="180" customFormat="false" ht="12.8" hidden="false" customHeight="false" outlineLevel="0" collapsed="false">
      <c r="A180" s="38" t="n">
        <f aca="false">ROW()-1</f>
        <v>179</v>
      </c>
      <c r="B180" s="61"/>
      <c r="C180" s="16"/>
      <c r="D180" s="58"/>
      <c r="E180" s="17"/>
      <c r="F180" s="17"/>
      <c r="G180" s="17"/>
      <c r="H180" s="17"/>
      <c r="I180" s="17"/>
      <c r="J180" s="26"/>
    </row>
    <row r="181" customFormat="false" ht="12.8" hidden="false" customHeight="false" outlineLevel="0" collapsed="false">
      <c r="A181" s="38" t="n">
        <f aca="false">ROW()-1</f>
        <v>180</v>
      </c>
      <c r="B181" s="61"/>
      <c r="C181" s="16"/>
      <c r="D181" s="58"/>
      <c r="E181" s="17"/>
      <c r="F181" s="17"/>
      <c r="G181" s="17"/>
      <c r="H181" s="17"/>
      <c r="I181" s="17"/>
      <c r="J181" s="26"/>
    </row>
    <row r="182" customFormat="false" ht="12.8" hidden="false" customHeight="false" outlineLevel="0" collapsed="false">
      <c r="A182" s="38" t="n">
        <f aca="false">ROW()-1</f>
        <v>181</v>
      </c>
      <c r="B182" s="61"/>
      <c r="C182" s="16"/>
      <c r="D182" s="58"/>
      <c r="E182" s="17"/>
      <c r="F182" s="17"/>
      <c r="G182" s="17"/>
      <c r="H182" s="17"/>
      <c r="I182" s="17"/>
      <c r="J182" s="26"/>
    </row>
    <row r="183" customFormat="false" ht="12.8" hidden="false" customHeight="false" outlineLevel="0" collapsed="false">
      <c r="A183" s="38" t="n">
        <f aca="false">ROW()-1</f>
        <v>182</v>
      </c>
      <c r="B183" s="61"/>
      <c r="C183" s="16"/>
      <c r="D183" s="58"/>
      <c r="E183" s="17"/>
      <c r="F183" s="17"/>
      <c r="G183" s="17"/>
      <c r="H183" s="17"/>
      <c r="I183" s="17"/>
      <c r="J183" s="26"/>
    </row>
    <row r="184" customFormat="false" ht="12.8" hidden="false" customHeight="false" outlineLevel="0" collapsed="false">
      <c r="A184" s="38" t="n">
        <f aca="false">ROW()-1</f>
        <v>183</v>
      </c>
      <c r="B184" s="61"/>
      <c r="C184" s="16"/>
      <c r="D184" s="58"/>
      <c r="E184" s="17"/>
      <c r="F184" s="17"/>
      <c r="G184" s="17"/>
      <c r="H184" s="17"/>
      <c r="I184" s="17"/>
      <c r="J184" s="26"/>
    </row>
    <row r="185" customFormat="false" ht="12.8" hidden="false" customHeight="false" outlineLevel="0" collapsed="false">
      <c r="A185" s="38" t="n">
        <f aca="false">ROW()-1</f>
        <v>184</v>
      </c>
      <c r="B185" s="61"/>
      <c r="C185" s="16"/>
      <c r="D185" s="58"/>
      <c r="E185" s="17"/>
      <c r="F185" s="17"/>
      <c r="G185" s="17"/>
      <c r="H185" s="17"/>
      <c r="I185" s="17"/>
      <c r="J185" s="26"/>
    </row>
    <row r="186" customFormat="false" ht="12.8" hidden="false" customHeight="false" outlineLevel="0" collapsed="false">
      <c r="A186" s="38" t="n">
        <f aca="false">ROW()-1</f>
        <v>185</v>
      </c>
      <c r="B186" s="61"/>
      <c r="C186" s="16"/>
      <c r="D186" s="58"/>
      <c r="E186" s="17"/>
      <c r="F186" s="17"/>
      <c r="G186" s="17"/>
      <c r="H186" s="17"/>
      <c r="I186" s="17"/>
      <c r="J186" s="26"/>
    </row>
    <row r="187" customFormat="false" ht="12.8" hidden="false" customHeight="false" outlineLevel="0" collapsed="false">
      <c r="A187" s="38" t="n">
        <f aca="false">ROW()-1</f>
        <v>186</v>
      </c>
      <c r="B187" s="61"/>
      <c r="C187" s="16"/>
      <c r="D187" s="58"/>
      <c r="E187" s="17"/>
      <c r="F187" s="17"/>
      <c r="G187" s="17"/>
      <c r="H187" s="17"/>
      <c r="I187" s="17"/>
      <c r="J187" s="26"/>
    </row>
    <row r="188" customFormat="false" ht="12.8" hidden="false" customHeight="false" outlineLevel="0" collapsed="false">
      <c r="A188" s="38" t="n">
        <f aca="false">ROW()-1</f>
        <v>187</v>
      </c>
      <c r="B188" s="61"/>
      <c r="C188" s="16"/>
      <c r="D188" s="58"/>
      <c r="E188" s="17"/>
      <c r="F188" s="17"/>
      <c r="G188" s="17"/>
      <c r="H188" s="17"/>
      <c r="I188" s="17"/>
      <c r="J188" s="26"/>
    </row>
    <row r="189" customFormat="false" ht="12.8" hidden="false" customHeight="false" outlineLevel="0" collapsed="false">
      <c r="A189" s="38" t="n">
        <f aca="false">ROW()-1</f>
        <v>188</v>
      </c>
      <c r="B189" s="61"/>
      <c r="C189" s="16"/>
      <c r="D189" s="58"/>
      <c r="E189" s="17"/>
      <c r="F189" s="17"/>
      <c r="G189" s="17"/>
      <c r="H189" s="17"/>
      <c r="I189" s="17"/>
      <c r="J189" s="26"/>
    </row>
    <row r="190" customFormat="false" ht="12.8" hidden="false" customHeight="false" outlineLevel="0" collapsed="false">
      <c r="A190" s="38" t="n">
        <f aca="false">ROW()-1</f>
        <v>189</v>
      </c>
      <c r="B190" s="61"/>
      <c r="C190" s="16"/>
      <c r="D190" s="58"/>
      <c r="E190" s="17"/>
      <c r="F190" s="17"/>
      <c r="G190" s="17"/>
      <c r="H190" s="17"/>
      <c r="I190" s="17"/>
      <c r="J190" s="26"/>
    </row>
    <row r="191" customFormat="false" ht="12.8" hidden="false" customHeight="false" outlineLevel="0" collapsed="false">
      <c r="A191" s="38" t="n">
        <f aca="false">ROW()-1</f>
        <v>190</v>
      </c>
      <c r="B191" s="61"/>
      <c r="C191" s="16"/>
      <c r="D191" s="58"/>
      <c r="E191" s="17"/>
      <c r="F191" s="17"/>
      <c r="G191" s="17"/>
      <c r="H191" s="17"/>
      <c r="I191" s="17"/>
      <c r="J191" s="26"/>
    </row>
    <row r="192" customFormat="false" ht="12.8" hidden="false" customHeight="false" outlineLevel="0" collapsed="false">
      <c r="A192" s="38" t="n">
        <f aca="false">ROW()-1</f>
        <v>191</v>
      </c>
      <c r="B192" s="61"/>
      <c r="C192" s="16"/>
      <c r="D192" s="58"/>
      <c r="E192" s="17"/>
      <c r="F192" s="17"/>
      <c r="G192" s="17"/>
      <c r="H192" s="17"/>
      <c r="I192" s="17"/>
      <c r="J192" s="26"/>
    </row>
    <row r="193" customFormat="false" ht="12.8" hidden="false" customHeight="false" outlineLevel="0" collapsed="false">
      <c r="A193" s="38" t="n">
        <f aca="false">ROW()-1</f>
        <v>192</v>
      </c>
      <c r="B193" s="61"/>
      <c r="C193" s="16"/>
      <c r="D193" s="58"/>
      <c r="E193" s="17"/>
      <c r="F193" s="17"/>
      <c r="G193" s="17"/>
      <c r="H193" s="17"/>
      <c r="I193" s="17"/>
      <c r="J193" s="26"/>
    </row>
    <row r="194" customFormat="false" ht="12.8" hidden="false" customHeight="false" outlineLevel="0" collapsed="false">
      <c r="A194" s="38" t="n">
        <f aca="false">ROW()-1</f>
        <v>193</v>
      </c>
      <c r="B194" s="61"/>
      <c r="C194" s="16"/>
      <c r="D194" s="58"/>
      <c r="E194" s="17"/>
      <c r="F194" s="17"/>
      <c r="G194" s="17"/>
      <c r="H194" s="17"/>
      <c r="I194" s="17"/>
      <c r="J194" s="26"/>
    </row>
    <row r="195" customFormat="false" ht="12.8" hidden="false" customHeight="false" outlineLevel="0" collapsed="false">
      <c r="A195" s="38" t="n">
        <f aca="false">ROW()-1</f>
        <v>194</v>
      </c>
      <c r="B195" s="61"/>
      <c r="C195" s="16"/>
      <c r="D195" s="58"/>
      <c r="E195" s="17"/>
      <c r="F195" s="17"/>
      <c r="G195" s="17"/>
      <c r="H195" s="17"/>
      <c r="I195" s="17"/>
      <c r="J195" s="26"/>
    </row>
    <row r="196" customFormat="false" ht="12.8" hidden="false" customHeight="false" outlineLevel="0" collapsed="false">
      <c r="A196" s="38" t="n">
        <f aca="false">ROW()-1</f>
        <v>195</v>
      </c>
      <c r="B196" s="61"/>
      <c r="C196" s="16"/>
      <c r="D196" s="58"/>
      <c r="E196" s="17"/>
      <c r="F196" s="17"/>
      <c r="G196" s="17"/>
      <c r="H196" s="17"/>
      <c r="I196" s="17"/>
      <c r="J196" s="26"/>
    </row>
    <row r="197" customFormat="false" ht="12.8" hidden="false" customHeight="false" outlineLevel="0" collapsed="false">
      <c r="A197" s="38" t="n">
        <f aca="false">ROW()-1</f>
        <v>196</v>
      </c>
      <c r="B197" s="61"/>
      <c r="C197" s="16"/>
      <c r="D197" s="58"/>
      <c r="E197" s="17"/>
      <c r="F197" s="17"/>
      <c r="G197" s="17"/>
      <c r="H197" s="17"/>
      <c r="I197" s="17"/>
      <c r="J197" s="26"/>
    </row>
    <row r="198" customFormat="false" ht="12.8" hidden="false" customHeight="false" outlineLevel="0" collapsed="false">
      <c r="A198" s="38" t="n">
        <f aca="false">ROW()-1</f>
        <v>197</v>
      </c>
      <c r="B198" s="61"/>
      <c r="C198" s="16"/>
      <c r="D198" s="58"/>
      <c r="E198" s="17"/>
      <c r="F198" s="17"/>
      <c r="G198" s="17"/>
      <c r="H198" s="17"/>
      <c r="I198" s="17"/>
      <c r="J198" s="26"/>
    </row>
    <row r="199" customFormat="false" ht="12.8" hidden="false" customHeight="false" outlineLevel="0" collapsed="false">
      <c r="A199" s="38" t="n">
        <f aca="false">ROW()-1</f>
        <v>198</v>
      </c>
      <c r="B199" s="61"/>
      <c r="C199" s="16"/>
      <c r="D199" s="58"/>
      <c r="E199" s="17"/>
      <c r="F199" s="17"/>
      <c r="G199" s="17"/>
      <c r="H199" s="17"/>
      <c r="I199" s="17"/>
      <c r="J199" s="26"/>
    </row>
    <row r="200" customFormat="false" ht="12.8" hidden="false" customHeight="false" outlineLevel="0" collapsed="false">
      <c r="A200" s="38" t="n">
        <f aca="false">ROW()-1</f>
        <v>199</v>
      </c>
      <c r="B200" s="61"/>
      <c r="C200" s="16"/>
      <c r="D200" s="58"/>
      <c r="E200" s="17"/>
      <c r="F200" s="17"/>
      <c r="G200" s="17"/>
      <c r="H200" s="17"/>
      <c r="I200" s="17"/>
      <c r="J200" s="26"/>
    </row>
    <row r="201" customFormat="false" ht="12.8" hidden="false" customHeight="false" outlineLevel="0" collapsed="false">
      <c r="A201" s="38" t="n">
        <f aca="false">ROW()-1</f>
        <v>200</v>
      </c>
      <c r="B201" s="61"/>
      <c r="C201" s="16"/>
      <c r="D201" s="58"/>
      <c r="E201" s="17"/>
      <c r="F201" s="17"/>
      <c r="G201" s="17"/>
      <c r="H201" s="17"/>
      <c r="I201" s="17"/>
      <c r="J201" s="26"/>
    </row>
    <row r="202" customFormat="false" ht="12.8" hidden="false" customHeight="false" outlineLevel="0" collapsed="false">
      <c r="A202" s="38" t="n">
        <f aca="false">ROW()-1</f>
        <v>201</v>
      </c>
      <c r="B202" s="61"/>
      <c r="C202" s="16"/>
      <c r="D202" s="58"/>
      <c r="E202" s="17"/>
      <c r="F202" s="17"/>
      <c r="G202" s="17"/>
      <c r="H202" s="17"/>
      <c r="I202" s="17"/>
      <c r="J202" s="26"/>
    </row>
    <row r="203" customFormat="false" ht="12.8" hidden="false" customHeight="false" outlineLevel="0" collapsed="false">
      <c r="A203" s="38" t="n">
        <f aca="false">ROW()-1</f>
        <v>202</v>
      </c>
      <c r="B203" s="61"/>
      <c r="C203" s="16"/>
      <c r="D203" s="58"/>
      <c r="E203" s="17"/>
      <c r="F203" s="17"/>
      <c r="G203" s="17"/>
      <c r="H203" s="17"/>
      <c r="I203" s="17"/>
      <c r="J203" s="26"/>
    </row>
    <row r="204" customFormat="false" ht="12.8" hidden="false" customHeight="false" outlineLevel="0" collapsed="false">
      <c r="A204" s="38" t="n">
        <f aca="false">ROW()-1</f>
        <v>203</v>
      </c>
      <c r="B204" s="61"/>
      <c r="C204" s="16"/>
      <c r="D204" s="58"/>
      <c r="E204" s="17"/>
      <c r="F204" s="17"/>
      <c r="G204" s="17"/>
      <c r="H204" s="17"/>
      <c r="I204" s="17"/>
      <c r="J204" s="26"/>
    </row>
    <row r="205" customFormat="false" ht="12.8" hidden="false" customHeight="false" outlineLevel="0" collapsed="false">
      <c r="A205" s="38" t="n">
        <f aca="false">ROW()-1</f>
        <v>204</v>
      </c>
      <c r="B205" s="61"/>
      <c r="C205" s="16"/>
      <c r="D205" s="58"/>
      <c r="E205" s="17"/>
      <c r="F205" s="17"/>
      <c r="G205" s="17"/>
      <c r="H205" s="17"/>
      <c r="I205" s="17"/>
      <c r="J205" s="26"/>
    </row>
    <row r="206" customFormat="false" ht="12.8" hidden="false" customHeight="false" outlineLevel="0" collapsed="false">
      <c r="A206" s="38" t="n">
        <f aca="false">ROW()-1</f>
        <v>205</v>
      </c>
      <c r="B206" s="61"/>
      <c r="C206" s="16"/>
      <c r="D206" s="58"/>
      <c r="E206" s="17"/>
      <c r="F206" s="17"/>
      <c r="G206" s="17"/>
      <c r="H206" s="17"/>
      <c r="I206" s="17"/>
      <c r="J206" s="26"/>
    </row>
    <row r="207" customFormat="false" ht="12.8" hidden="false" customHeight="false" outlineLevel="0" collapsed="false">
      <c r="A207" s="38" t="n">
        <f aca="false">ROW()-1</f>
        <v>206</v>
      </c>
      <c r="B207" s="61"/>
      <c r="C207" s="16"/>
      <c r="D207" s="58"/>
      <c r="E207" s="17"/>
      <c r="F207" s="17"/>
      <c r="G207" s="17"/>
      <c r="H207" s="17"/>
      <c r="I207" s="17"/>
      <c r="J207" s="26"/>
    </row>
    <row r="208" customFormat="false" ht="12.8" hidden="false" customHeight="false" outlineLevel="0" collapsed="false">
      <c r="A208" s="38" t="n">
        <f aca="false">ROW()-1</f>
        <v>207</v>
      </c>
      <c r="B208" s="61"/>
      <c r="C208" s="16"/>
      <c r="D208" s="58"/>
      <c r="E208" s="17"/>
      <c r="F208" s="17"/>
      <c r="G208" s="17"/>
      <c r="H208" s="17"/>
      <c r="I208" s="17"/>
      <c r="J208" s="26"/>
    </row>
    <row r="209" customFormat="false" ht="12.8" hidden="false" customHeight="false" outlineLevel="0" collapsed="false">
      <c r="A209" s="38" t="n">
        <f aca="false">ROW()-1</f>
        <v>208</v>
      </c>
      <c r="B209" s="61"/>
      <c r="C209" s="16"/>
      <c r="D209" s="58"/>
      <c r="E209" s="17"/>
      <c r="F209" s="17"/>
      <c r="G209" s="17"/>
      <c r="H209" s="17"/>
      <c r="I209" s="17"/>
      <c r="J209" s="26"/>
    </row>
    <row r="210" customFormat="false" ht="12.8" hidden="false" customHeight="false" outlineLevel="0" collapsed="false">
      <c r="A210" s="38" t="n">
        <f aca="false">ROW()-1</f>
        <v>209</v>
      </c>
      <c r="B210" s="61"/>
      <c r="C210" s="16"/>
      <c r="D210" s="58"/>
      <c r="E210" s="17"/>
      <c r="F210" s="17"/>
      <c r="G210" s="17"/>
      <c r="H210" s="17"/>
      <c r="I210" s="17"/>
      <c r="J210" s="26"/>
    </row>
    <row r="211" customFormat="false" ht="12.8" hidden="false" customHeight="false" outlineLevel="0" collapsed="false">
      <c r="A211" s="38" t="n">
        <f aca="false">ROW()-1</f>
        <v>210</v>
      </c>
      <c r="B211" s="61"/>
      <c r="C211" s="16"/>
      <c r="D211" s="58"/>
      <c r="E211" s="17"/>
      <c r="F211" s="17"/>
      <c r="G211" s="17"/>
      <c r="H211" s="17"/>
      <c r="I211" s="17"/>
      <c r="J211" s="26"/>
    </row>
    <row r="212" customFormat="false" ht="12.8" hidden="false" customHeight="false" outlineLevel="0" collapsed="false">
      <c r="A212" s="38" t="n">
        <f aca="false">ROW()-1</f>
        <v>211</v>
      </c>
      <c r="B212" s="61"/>
      <c r="C212" s="16"/>
      <c r="D212" s="58"/>
      <c r="E212" s="17"/>
      <c r="F212" s="17"/>
      <c r="G212" s="17"/>
      <c r="H212" s="17"/>
      <c r="I212" s="17"/>
      <c r="J212" s="26"/>
    </row>
    <row r="213" customFormat="false" ht="12.8" hidden="false" customHeight="false" outlineLevel="0" collapsed="false">
      <c r="A213" s="38" t="n">
        <f aca="false">ROW()-1</f>
        <v>212</v>
      </c>
      <c r="B213" s="61"/>
      <c r="C213" s="16"/>
      <c r="D213" s="58"/>
      <c r="E213" s="17"/>
      <c r="F213" s="17"/>
      <c r="G213" s="17"/>
      <c r="H213" s="17"/>
      <c r="I213" s="17"/>
      <c r="J213" s="26"/>
    </row>
    <row r="214" customFormat="false" ht="12.8" hidden="false" customHeight="false" outlineLevel="0" collapsed="false">
      <c r="A214" s="38" t="n">
        <f aca="false">ROW()-1</f>
        <v>213</v>
      </c>
      <c r="B214" s="61"/>
      <c r="C214" s="16"/>
      <c r="D214" s="58"/>
      <c r="E214" s="17"/>
      <c r="F214" s="17"/>
      <c r="G214" s="17"/>
      <c r="H214" s="17"/>
      <c r="I214" s="17"/>
      <c r="J214" s="26"/>
    </row>
    <row r="215" customFormat="false" ht="12.8" hidden="false" customHeight="false" outlineLevel="0" collapsed="false">
      <c r="A215" s="38" t="n">
        <f aca="false">ROW()-1</f>
        <v>214</v>
      </c>
      <c r="B215" s="61"/>
      <c r="C215" s="16"/>
      <c r="D215" s="58"/>
      <c r="E215" s="17"/>
      <c r="F215" s="17"/>
      <c r="G215" s="17"/>
      <c r="H215" s="17"/>
      <c r="I215" s="17"/>
      <c r="J215" s="26"/>
    </row>
    <row r="216" customFormat="false" ht="12.8" hidden="false" customHeight="false" outlineLevel="0" collapsed="false">
      <c r="A216" s="38" t="n">
        <f aca="false">ROW()-1</f>
        <v>215</v>
      </c>
      <c r="B216" s="61"/>
      <c r="C216" s="16"/>
      <c r="D216" s="58"/>
      <c r="E216" s="17"/>
      <c r="F216" s="17"/>
      <c r="G216" s="17"/>
      <c r="H216" s="17"/>
      <c r="I216" s="17"/>
      <c r="J216" s="26"/>
    </row>
    <row r="217" customFormat="false" ht="12.8" hidden="false" customHeight="false" outlineLevel="0" collapsed="false">
      <c r="A217" s="38" t="n">
        <f aca="false">ROW()-1</f>
        <v>216</v>
      </c>
      <c r="B217" s="61"/>
      <c r="C217" s="16"/>
      <c r="D217" s="58"/>
      <c r="E217" s="17"/>
      <c r="F217" s="17"/>
      <c r="G217" s="17"/>
      <c r="H217" s="17"/>
      <c r="I217" s="17"/>
      <c r="J217" s="26"/>
    </row>
    <row r="218" customFormat="false" ht="12.8" hidden="false" customHeight="false" outlineLevel="0" collapsed="false">
      <c r="A218" s="38" t="n">
        <f aca="false">ROW()-1</f>
        <v>217</v>
      </c>
      <c r="B218" s="61"/>
      <c r="C218" s="16"/>
      <c r="D218" s="58"/>
      <c r="E218" s="17"/>
      <c r="F218" s="17"/>
      <c r="G218" s="17"/>
      <c r="H218" s="17"/>
      <c r="I218" s="17"/>
      <c r="J218" s="26"/>
    </row>
    <row r="219" customFormat="false" ht="12.8" hidden="false" customHeight="false" outlineLevel="0" collapsed="false">
      <c r="A219" s="38" t="n">
        <f aca="false">ROW()-1</f>
        <v>218</v>
      </c>
      <c r="B219" s="61"/>
      <c r="C219" s="16"/>
      <c r="D219" s="58"/>
      <c r="E219" s="17"/>
      <c r="F219" s="17"/>
      <c r="G219" s="17"/>
      <c r="H219" s="17"/>
      <c r="I219" s="17"/>
      <c r="J219" s="26"/>
    </row>
    <row r="220" customFormat="false" ht="12.8" hidden="false" customHeight="false" outlineLevel="0" collapsed="false">
      <c r="A220" s="38" t="n">
        <f aca="false">ROW()-1</f>
        <v>219</v>
      </c>
      <c r="B220" s="61"/>
      <c r="C220" s="16"/>
      <c r="D220" s="58"/>
      <c r="E220" s="17"/>
      <c r="F220" s="17"/>
      <c r="G220" s="17"/>
      <c r="H220" s="17"/>
      <c r="I220" s="17"/>
      <c r="J220" s="26"/>
    </row>
    <row r="221" customFormat="false" ht="12.8" hidden="false" customHeight="false" outlineLevel="0" collapsed="false">
      <c r="A221" s="38" t="n">
        <f aca="false">ROW()-1</f>
        <v>220</v>
      </c>
      <c r="B221" s="61"/>
      <c r="C221" s="16"/>
      <c r="D221" s="58"/>
      <c r="E221" s="17"/>
      <c r="F221" s="17"/>
      <c r="G221" s="17"/>
      <c r="H221" s="17"/>
      <c r="I221" s="17"/>
      <c r="J221" s="26"/>
    </row>
    <row r="222" customFormat="false" ht="12.8" hidden="false" customHeight="false" outlineLevel="0" collapsed="false">
      <c r="A222" s="38" t="n">
        <f aca="false">ROW()-1</f>
        <v>221</v>
      </c>
      <c r="B222" s="61"/>
      <c r="C222" s="16"/>
      <c r="D222" s="58"/>
      <c r="E222" s="17"/>
      <c r="F222" s="17"/>
      <c r="G222" s="17"/>
      <c r="H222" s="17"/>
      <c r="I222" s="17"/>
      <c r="J222" s="26"/>
    </row>
    <row r="223" customFormat="false" ht="12.8" hidden="false" customHeight="false" outlineLevel="0" collapsed="false">
      <c r="A223" s="38" t="n">
        <f aca="false">ROW()-1</f>
        <v>222</v>
      </c>
      <c r="B223" s="61"/>
      <c r="C223" s="16"/>
      <c r="D223" s="58"/>
      <c r="E223" s="17"/>
      <c r="F223" s="17"/>
      <c r="G223" s="17"/>
      <c r="H223" s="17"/>
      <c r="I223" s="17"/>
      <c r="J223" s="26"/>
    </row>
    <row r="224" customFormat="false" ht="12.8" hidden="false" customHeight="false" outlineLevel="0" collapsed="false">
      <c r="A224" s="38" t="n">
        <f aca="false">ROW()-1</f>
        <v>223</v>
      </c>
      <c r="B224" s="61"/>
      <c r="C224" s="16"/>
      <c r="D224" s="58"/>
      <c r="E224" s="17"/>
      <c r="F224" s="17"/>
      <c r="G224" s="17"/>
      <c r="H224" s="17"/>
      <c r="I224" s="17"/>
      <c r="J224" s="26"/>
    </row>
    <row r="225" customFormat="false" ht="12.8" hidden="false" customHeight="false" outlineLevel="0" collapsed="false">
      <c r="A225" s="38" t="n">
        <f aca="false">ROW()-1</f>
        <v>224</v>
      </c>
      <c r="B225" s="61"/>
      <c r="C225" s="16"/>
      <c r="D225" s="58"/>
      <c r="E225" s="17"/>
      <c r="F225" s="17"/>
      <c r="G225" s="17"/>
      <c r="H225" s="17"/>
      <c r="I225" s="17"/>
      <c r="J225" s="26"/>
    </row>
    <row r="226" customFormat="false" ht="12.8" hidden="false" customHeight="false" outlineLevel="0" collapsed="false">
      <c r="A226" s="38" t="n">
        <f aca="false">ROW()-1</f>
        <v>225</v>
      </c>
      <c r="B226" s="61"/>
      <c r="C226" s="16"/>
      <c r="D226" s="58"/>
      <c r="E226" s="17"/>
      <c r="F226" s="17"/>
      <c r="G226" s="17"/>
      <c r="H226" s="17"/>
      <c r="I226" s="17"/>
      <c r="J226" s="26"/>
    </row>
    <row r="227" customFormat="false" ht="12.8" hidden="false" customHeight="false" outlineLevel="0" collapsed="false">
      <c r="A227" s="38" t="n">
        <f aca="false">ROW()-1</f>
        <v>226</v>
      </c>
      <c r="B227" s="61"/>
      <c r="C227" s="16"/>
      <c r="D227" s="58"/>
      <c r="E227" s="17"/>
      <c r="F227" s="17"/>
      <c r="G227" s="17"/>
      <c r="H227" s="17"/>
      <c r="I227" s="17"/>
      <c r="J227" s="26"/>
    </row>
    <row r="228" customFormat="false" ht="12.8" hidden="false" customHeight="false" outlineLevel="0" collapsed="false">
      <c r="A228" s="38" t="n">
        <f aca="false">ROW()-1</f>
        <v>227</v>
      </c>
      <c r="B228" s="61"/>
      <c r="C228" s="16"/>
      <c r="D228" s="58"/>
      <c r="E228" s="17"/>
      <c r="F228" s="17"/>
      <c r="G228" s="17"/>
      <c r="H228" s="17"/>
      <c r="I228" s="17"/>
      <c r="J228" s="26"/>
    </row>
    <row r="229" customFormat="false" ht="12.8" hidden="false" customHeight="false" outlineLevel="0" collapsed="false">
      <c r="A229" s="38" t="n">
        <f aca="false">ROW()-1</f>
        <v>228</v>
      </c>
      <c r="B229" s="61"/>
      <c r="C229" s="16"/>
      <c r="D229" s="58"/>
      <c r="E229" s="17"/>
      <c r="F229" s="17"/>
      <c r="G229" s="17"/>
      <c r="H229" s="17"/>
      <c r="I229" s="17"/>
      <c r="J229" s="26"/>
    </row>
    <row r="230" customFormat="false" ht="12.8" hidden="false" customHeight="false" outlineLevel="0" collapsed="false">
      <c r="A230" s="38" t="n">
        <f aca="false">ROW()-1</f>
        <v>229</v>
      </c>
      <c r="B230" s="61"/>
      <c r="C230" s="16"/>
      <c r="D230" s="58"/>
      <c r="E230" s="17"/>
      <c r="F230" s="17"/>
      <c r="G230" s="17"/>
      <c r="H230" s="17"/>
      <c r="I230" s="17"/>
      <c r="J230" s="26"/>
    </row>
    <row r="231" customFormat="false" ht="12.8" hidden="false" customHeight="false" outlineLevel="0" collapsed="false">
      <c r="A231" s="38" t="n">
        <f aca="false">ROW()-1</f>
        <v>230</v>
      </c>
      <c r="B231" s="61"/>
      <c r="C231" s="16"/>
      <c r="D231" s="58"/>
      <c r="E231" s="17"/>
      <c r="F231" s="17"/>
      <c r="G231" s="17"/>
      <c r="H231" s="17"/>
      <c r="I231" s="17"/>
      <c r="J231" s="26"/>
    </row>
    <row r="232" customFormat="false" ht="12.8" hidden="false" customHeight="false" outlineLevel="0" collapsed="false">
      <c r="A232" s="38" t="n">
        <f aca="false">ROW()-1</f>
        <v>231</v>
      </c>
      <c r="B232" s="61"/>
      <c r="C232" s="16"/>
      <c r="D232" s="58"/>
      <c r="E232" s="17"/>
      <c r="F232" s="17"/>
      <c r="G232" s="17"/>
      <c r="H232" s="17"/>
      <c r="I232" s="17"/>
      <c r="J232" s="26"/>
    </row>
    <row r="233" customFormat="false" ht="12.8" hidden="false" customHeight="false" outlineLevel="0" collapsed="false">
      <c r="A233" s="38" t="n">
        <f aca="false">ROW()-1</f>
        <v>232</v>
      </c>
      <c r="B233" s="61"/>
      <c r="C233" s="16"/>
      <c r="D233" s="58"/>
      <c r="E233" s="17"/>
      <c r="F233" s="17"/>
      <c r="G233" s="17"/>
      <c r="H233" s="17"/>
      <c r="I233" s="17"/>
      <c r="J233" s="26"/>
    </row>
    <row r="234" customFormat="false" ht="12.8" hidden="false" customHeight="false" outlineLevel="0" collapsed="false">
      <c r="A234" s="38" t="n">
        <f aca="false">ROW()-1</f>
        <v>233</v>
      </c>
      <c r="B234" s="61"/>
      <c r="C234" s="16"/>
      <c r="D234" s="58"/>
      <c r="E234" s="17"/>
      <c r="F234" s="17"/>
      <c r="G234" s="17"/>
      <c r="H234" s="17"/>
      <c r="I234" s="17"/>
      <c r="J234" s="26"/>
    </row>
    <row r="235" customFormat="false" ht="12.8" hidden="false" customHeight="false" outlineLevel="0" collapsed="false">
      <c r="A235" s="38" t="n">
        <f aca="false">ROW()-1</f>
        <v>234</v>
      </c>
      <c r="B235" s="61"/>
      <c r="C235" s="16"/>
      <c r="D235" s="58"/>
      <c r="E235" s="17"/>
      <c r="F235" s="17"/>
      <c r="G235" s="17"/>
      <c r="H235" s="17"/>
      <c r="I235" s="17"/>
      <c r="J235" s="26"/>
    </row>
    <row r="236" customFormat="false" ht="12.8" hidden="false" customHeight="false" outlineLevel="0" collapsed="false">
      <c r="A236" s="38" t="n">
        <f aca="false">ROW()-1</f>
        <v>235</v>
      </c>
      <c r="B236" s="61"/>
      <c r="C236" s="16"/>
      <c r="D236" s="58"/>
      <c r="E236" s="17"/>
      <c r="F236" s="17"/>
      <c r="G236" s="17"/>
      <c r="H236" s="17"/>
      <c r="I236" s="17"/>
      <c r="J236" s="26"/>
    </row>
    <row r="237" customFormat="false" ht="12.8" hidden="false" customHeight="false" outlineLevel="0" collapsed="false">
      <c r="A237" s="38" t="n">
        <f aca="false">ROW()-1</f>
        <v>236</v>
      </c>
      <c r="B237" s="61"/>
      <c r="C237" s="16"/>
      <c r="D237" s="58"/>
      <c r="E237" s="17"/>
      <c r="F237" s="17"/>
      <c r="G237" s="17"/>
      <c r="H237" s="17"/>
      <c r="I237" s="17"/>
      <c r="J237" s="26"/>
    </row>
    <row r="238" customFormat="false" ht="12.8" hidden="false" customHeight="false" outlineLevel="0" collapsed="false">
      <c r="A238" s="38" t="n">
        <f aca="false">ROW()-1</f>
        <v>237</v>
      </c>
      <c r="B238" s="61"/>
      <c r="C238" s="16"/>
      <c r="D238" s="58"/>
      <c r="E238" s="17"/>
      <c r="F238" s="17"/>
      <c r="G238" s="17"/>
      <c r="H238" s="17"/>
      <c r="I238" s="17"/>
      <c r="J238" s="26"/>
    </row>
    <row r="239" customFormat="false" ht="12.8" hidden="false" customHeight="false" outlineLevel="0" collapsed="false">
      <c r="A239" s="38" t="n">
        <f aca="false">ROW()-1</f>
        <v>238</v>
      </c>
      <c r="B239" s="61"/>
      <c r="C239" s="16"/>
      <c r="D239" s="58"/>
      <c r="E239" s="17"/>
      <c r="F239" s="17"/>
      <c r="G239" s="17"/>
      <c r="H239" s="17"/>
      <c r="I239" s="17"/>
      <c r="J239" s="26"/>
    </row>
    <row r="240" customFormat="false" ht="12.8" hidden="false" customHeight="false" outlineLevel="0" collapsed="false">
      <c r="A240" s="38" t="n">
        <f aca="false">ROW()-1</f>
        <v>239</v>
      </c>
      <c r="B240" s="61"/>
      <c r="C240" s="16"/>
      <c r="D240" s="58"/>
      <c r="E240" s="17"/>
      <c r="F240" s="17"/>
      <c r="G240" s="17"/>
      <c r="H240" s="17"/>
      <c r="I240" s="17"/>
      <c r="J240" s="26"/>
    </row>
    <row r="241" customFormat="false" ht="12.8" hidden="false" customHeight="false" outlineLevel="0" collapsed="false">
      <c r="A241" s="38" t="n">
        <f aca="false">ROW()-1</f>
        <v>240</v>
      </c>
      <c r="B241" s="61"/>
      <c r="C241" s="16"/>
      <c r="D241" s="58"/>
      <c r="E241" s="17"/>
      <c r="F241" s="17"/>
      <c r="G241" s="17"/>
      <c r="H241" s="17"/>
      <c r="I241" s="17"/>
      <c r="J241" s="26"/>
    </row>
    <row r="242" customFormat="false" ht="12.8" hidden="false" customHeight="false" outlineLevel="0" collapsed="false">
      <c r="A242" s="38" t="n">
        <f aca="false">ROW()-1</f>
        <v>241</v>
      </c>
      <c r="B242" s="61"/>
      <c r="C242" s="16"/>
      <c r="D242" s="58"/>
      <c r="E242" s="17"/>
      <c r="F242" s="17"/>
      <c r="G242" s="17"/>
      <c r="H242" s="17"/>
      <c r="I242" s="17"/>
      <c r="J242" s="26"/>
    </row>
    <row r="243" customFormat="false" ht="12.8" hidden="false" customHeight="false" outlineLevel="0" collapsed="false">
      <c r="A243" s="38" t="n">
        <f aca="false">ROW()-1</f>
        <v>242</v>
      </c>
      <c r="B243" s="61"/>
      <c r="C243" s="16"/>
      <c r="D243" s="58"/>
      <c r="E243" s="17"/>
      <c r="F243" s="17"/>
      <c r="G243" s="17"/>
      <c r="H243" s="17"/>
      <c r="I243" s="17"/>
      <c r="J243" s="26"/>
    </row>
    <row r="244" customFormat="false" ht="12.8" hidden="false" customHeight="false" outlineLevel="0" collapsed="false">
      <c r="A244" s="38" t="n">
        <f aca="false">ROW()-1</f>
        <v>243</v>
      </c>
      <c r="B244" s="61"/>
      <c r="C244" s="16"/>
      <c r="D244" s="58"/>
      <c r="E244" s="17"/>
      <c r="F244" s="17"/>
      <c r="G244" s="17"/>
      <c r="H244" s="17"/>
      <c r="I244" s="17"/>
      <c r="J244" s="26"/>
    </row>
    <row r="245" customFormat="false" ht="12.8" hidden="false" customHeight="false" outlineLevel="0" collapsed="false">
      <c r="A245" s="38" t="n">
        <f aca="false">ROW()-1</f>
        <v>244</v>
      </c>
      <c r="B245" s="61"/>
      <c r="C245" s="16"/>
      <c r="D245" s="58"/>
      <c r="E245" s="17"/>
      <c r="F245" s="17"/>
      <c r="G245" s="17"/>
      <c r="H245" s="17"/>
      <c r="I245" s="17"/>
      <c r="J245" s="26"/>
    </row>
    <row r="246" customFormat="false" ht="12.8" hidden="false" customHeight="false" outlineLevel="0" collapsed="false">
      <c r="A246" s="38" t="n">
        <f aca="false">ROW()-1</f>
        <v>245</v>
      </c>
      <c r="B246" s="61"/>
      <c r="C246" s="16"/>
      <c r="D246" s="58"/>
      <c r="E246" s="17"/>
      <c r="F246" s="17"/>
      <c r="G246" s="17"/>
      <c r="H246" s="17"/>
      <c r="I246" s="17"/>
      <c r="J246" s="26"/>
    </row>
    <row r="247" customFormat="false" ht="12.8" hidden="false" customHeight="false" outlineLevel="0" collapsed="false">
      <c r="A247" s="38" t="n">
        <f aca="false">ROW()-1</f>
        <v>246</v>
      </c>
      <c r="B247" s="61"/>
      <c r="C247" s="16"/>
      <c r="D247" s="58"/>
      <c r="E247" s="17"/>
      <c r="F247" s="17"/>
      <c r="G247" s="17"/>
      <c r="H247" s="17"/>
      <c r="I247" s="17"/>
      <c r="J247" s="26"/>
    </row>
    <row r="248" customFormat="false" ht="12.8" hidden="false" customHeight="false" outlineLevel="0" collapsed="false">
      <c r="A248" s="38" t="n">
        <f aca="false">ROW()-1</f>
        <v>247</v>
      </c>
      <c r="B248" s="61"/>
      <c r="C248" s="16"/>
      <c r="D248" s="58"/>
      <c r="E248" s="17"/>
      <c r="F248" s="17"/>
      <c r="G248" s="17"/>
      <c r="H248" s="17"/>
      <c r="I248" s="17"/>
      <c r="J248" s="26"/>
    </row>
    <row r="249" customFormat="false" ht="12.8" hidden="false" customHeight="false" outlineLevel="0" collapsed="false">
      <c r="A249" s="38" t="n">
        <f aca="false">ROW()-1</f>
        <v>248</v>
      </c>
      <c r="B249" s="61"/>
      <c r="C249" s="16"/>
      <c r="D249" s="58"/>
      <c r="E249" s="17"/>
      <c r="F249" s="17"/>
      <c r="G249" s="17"/>
      <c r="H249" s="17"/>
      <c r="I249" s="17"/>
      <c r="J249" s="26"/>
    </row>
    <row r="250" customFormat="false" ht="12.8" hidden="false" customHeight="false" outlineLevel="0" collapsed="false">
      <c r="A250" s="38" t="n">
        <f aca="false">ROW()-1</f>
        <v>249</v>
      </c>
      <c r="B250" s="61"/>
      <c r="C250" s="16"/>
      <c r="D250" s="58"/>
      <c r="E250" s="17"/>
      <c r="F250" s="17"/>
      <c r="G250" s="17"/>
      <c r="H250" s="17"/>
      <c r="I250" s="17"/>
      <c r="J250" s="26"/>
    </row>
    <row r="251" customFormat="false" ht="12.8" hidden="false" customHeight="false" outlineLevel="0" collapsed="false">
      <c r="A251" s="38" t="n">
        <f aca="false">ROW()-1</f>
        <v>250</v>
      </c>
      <c r="B251" s="61"/>
      <c r="C251" s="16"/>
      <c r="D251" s="58"/>
      <c r="E251" s="17"/>
      <c r="F251" s="17"/>
      <c r="G251" s="17"/>
      <c r="H251" s="17"/>
      <c r="I251" s="17"/>
      <c r="J251" s="26"/>
    </row>
    <row r="252" customFormat="false" ht="12.8" hidden="false" customHeight="false" outlineLevel="0" collapsed="false">
      <c r="A252" s="38" t="n">
        <f aca="false">ROW()-1</f>
        <v>251</v>
      </c>
      <c r="B252" s="61"/>
      <c r="C252" s="16"/>
      <c r="D252" s="58"/>
      <c r="E252" s="17"/>
      <c r="F252" s="17"/>
      <c r="G252" s="17"/>
      <c r="H252" s="17"/>
      <c r="I252" s="17"/>
      <c r="J252" s="26"/>
    </row>
    <row r="253" customFormat="false" ht="12.8" hidden="false" customHeight="false" outlineLevel="0" collapsed="false">
      <c r="A253" s="38" t="n">
        <f aca="false">ROW()-1</f>
        <v>252</v>
      </c>
      <c r="B253" s="61"/>
      <c r="C253" s="16"/>
      <c r="D253" s="58"/>
      <c r="E253" s="17"/>
      <c r="F253" s="17"/>
      <c r="G253" s="17"/>
      <c r="H253" s="17"/>
      <c r="I253" s="17"/>
      <c r="J253" s="26"/>
    </row>
    <row r="254" customFormat="false" ht="12.8" hidden="false" customHeight="false" outlineLevel="0" collapsed="false">
      <c r="A254" s="38" t="n">
        <f aca="false">ROW()-1</f>
        <v>253</v>
      </c>
      <c r="B254" s="61"/>
      <c r="C254" s="16"/>
      <c r="D254" s="58"/>
      <c r="E254" s="17"/>
      <c r="F254" s="17"/>
      <c r="G254" s="17"/>
      <c r="H254" s="17"/>
      <c r="I254" s="17"/>
      <c r="J254" s="26"/>
    </row>
    <row r="255" customFormat="false" ht="12.8" hidden="false" customHeight="false" outlineLevel="0" collapsed="false">
      <c r="A255" s="38" t="n">
        <f aca="false">ROW()-1</f>
        <v>254</v>
      </c>
      <c r="B255" s="61"/>
      <c r="C255" s="16"/>
      <c r="D255" s="58"/>
      <c r="E255" s="17"/>
      <c r="F255" s="17"/>
      <c r="G255" s="17"/>
      <c r="H255" s="17"/>
      <c r="I255" s="17"/>
      <c r="J255" s="26"/>
    </row>
    <row r="256" customFormat="false" ht="12.8" hidden="false" customHeight="false" outlineLevel="0" collapsed="false">
      <c r="A256" s="38" t="n">
        <f aca="false">ROW()-1</f>
        <v>255</v>
      </c>
      <c r="B256" s="61"/>
      <c r="C256" s="16"/>
      <c r="D256" s="58"/>
      <c r="E256" s="17"/>
      <c r="F256" s="17"/>
      <c r="G256" s="17"/>
      <c r="H256" s="17"/>
      <c r="I256" s="17"/>
      <c r="J256" s="26"/>
    </row>
    <row r="257" customFormat="false" ht="12.8" hidden="false" customHeight="false" outlineLevel="0" collapsed="false">
      <c r="A257" s="38" t="n">
        <f aca="false">ROW()-1</f>
        <v>256</v>
      </c>
      <c r="B257" s="61"/>
      <c r="C257" s="16"/>
      <c r="D257" s="58"/>
      <c r="E257" s="17"/>
      <c r="F257" s="17"/>
      <c r="G257" s="17"/>
      <c r="H257" s="17"/>
      <c r="I257" s="17"/>
      <c r="J257" s="26"/>
    </row>
    <row r="258" customFormat="false" ht="12.8" hidden="false" customHeight="false" outlineLevel="0" collapsed="false">
      <c r="A258" s="38" t="n">
        <f aca="false">ROW()-1</f>
        <v>257</v>
      </c>
      <c r="B258" s="61"/>
      <c r="C258" s="16"/>
      <c r="D258" s="58"/>
      <c r="E258" s="17"/>
      <c r="F258" s="17"/>
      <c r="G258" s="17"/>
      <c r="H258" s="17"/>
      <c r="I258" s="17"/>
      <c r="J258" s="26"/>
    </row>
    <row r="259" customFormat="false" ht="12.8" hidden="false" customHeight="false" outlineLevel="0" collapsed="false">
      <c r="A259" s="38" t="n">
        <f aca="false">ROW()-1</f>
        <v>258</v>
      </c>
      <c r="B259" s="61"/>
      <c r="C259" s="16"/>
      <c r="D259" s="58"/>
      <c r="E259" s="17"/>
      <c r="F259" s="17"/>
      <c r="G259" s="17"/>
      <c r="H259" s="17"/>
      <c r="I259" s="17"/>
      <c r="J259" s="26"/>
    </row>
    <row r="260" customFormat="false" ht="12.8" hidden="false" customHeight="false" outlineLevel="0" collapsed="false">
      <c r="A260" s="38" t="n">
        <f aca="false">ROW()-1</f>
        <v>259</v>
      </c>
      <c r="B260" s="61"/>
      <c r="C260" s="16"/>
      <c r="D260" s="58"/>
      <c r="E260" s="17"/>
      <c r="F260" s="17"/>
      <c r="G260" s="17"/>
      <c r="H260" s="17"/>
      <c r="I260" s="17"/>
      <c r="J260" s="26"/>
    </row>
    <row r="261" customFormat="false" ht="12.8" hidden="false" customHeight="false" outlineLevel="0" collapsed="false">
      <c r="A261" s="38" t="n">
        <f aca="false">ROW()-1</f>
        <v>260</v>
      </c>
      <c r="B261" s="61"/>
      <c r="C261" s="16"/>
      <c r="D261" s="58"/>
      <c r="E261" s="17"/>
      <c r="F261" s="17"/>
      <c r="G261" s="17"/>
      <c r="H261" s="17"/>
      <c r="I261" s="17"/>
      <c r="J261" s="26"/>
    </row>
    <row r="262" customFormat="false" ht="12.8" hidden="false" customHeight="false" outlineLevel="0" collapsed="false">
      <c r="A262" s="38" t="n">
        <f aca="false">ROW()-1</f>
        <v>261</v>
      </c>
      <c r="B262" s="61"/>
      <c r="C262" s="16"/>
      <c r="D262" s="58"/>
      <c r="E262" s="17"/>
      <c r="F262" s="17"/>
      <c r="G262" s="17"/>
      <c r="H262" s="17"/>
      <c r="I262" s="17"/>
      <c r="J262" s="26"/>
    </row>
    <row r="263" customFormat="false" ht="12.8" hidden="false" customHeight="false" outlineLevel="0" collapsed="false">
      <c r="A263" s="38" t="n">
        <f aca="false">ROW()-1</f>
        <v>262</v>
      </c>
      <c r="B263" s="61"/>
      <c r="C263" s="16"/>
      <c r="D263" s="58"/>
      <c r="E263" s="17"/>
      <c r="F263" s="17"/>
      <c r="G263" s="17"/>
      <c r="H263" s="17"/>
      <c r="I263" s="17"/>
      <c r="J263" s="26"/>
    </row>
    <row r="264" customFormat="false" ht="12.8" hidden="false" customHeight="false" outlineLevel="0" collapsed="false">
      <c r="A264" s="38" t="n">
        <f aca="false">ROW()-1</f>
        <v>263</v>
      </c>
      <c r="B264" s="61"/>
      <c r="C264" s="16"/>
      <c r="D264" s="58"/>
      <c r="E264" s="17"/>
      <c r="F264" s="17"/>
      <c r="G264" s="17"/>
      <c r="H264" s="17"/>
      <c r="I264" s="17"/>
      <c r="J264" s="26"/>
    </row>
    <row r="265" customFormat="false" ht="12.8" hidden="false" customHeight="false" outlineLevel="0" collapsed="false">
      <c r="A265" s="38" t="n">
        <f aca="false">ROW()-1</f>
        <v>264</v>
      </c>
      <c r="B265" s="61"/>
      <c r="C265" s="16"/>
      <c r="D265" s="58"/>
      <c r="E265" s="17"/>
      <c r="F265" s="17"/>
      <c r="G265" s="17"/>
      <c r="H265" s="17"/>
      <c r="I265" s="17"/>
      <c r="J265" s="26"/>
    </row>
    <row r="266" customFormat="false" ht="12.8" hidden="false" customHeight="false" outlineLevel="0" collapsed="false">
      <c r="A266" s="38" t="n">
        <f aca="false">ROW()-1</f>
        <v>265</v>
      </c>
      <c r="B266" s="61"/>
      <c r="C266" s="16"/>
      <c r="D266" s="58"/>
      <c r="E266" s="17"/>
      <c r="F266" s="17"/>
      <c r="G266" s="17"/>
      <c r="H266" s="17"/>
      <c r="I266" s="17"/>
      <c r="J266" s="26"/>
    </row>
    <row r="267" customFormat="false" ht="12.8" hidden="false" customHeight="false" outlineLevel="0" collapsed="false">
      <c r="A267" s="38" t="n">
        <f aca="false">ROW()-1</f>
        <v>266</v>
      </c>
      <c r="B267" s="61"/>
      <c r="C267" s="16"/>
      <c r="D267" s="58"/>
      <c r="E267" s="17"/>
      <c r="F267" s="17"/>
      <c r="G267" s="17"/>
      <c r="H267" s="17"/>
      <c r="I267" s="17"/>
      <c r="J267" s="26"/>
    </row>
    <row r="268" customFormat="false" ht="12.8" hidden="false" customHeight="false" outlineLevel="0" collapsed="false">
      <c r="A268" s="38" t="n">
        <f aca="false">ROW()-1</f>
        <v>267</v>
      </c>
      <c r="B268" s="61"/>
      <c r="C268" s="16"/>
      <c r="D268" s="58"/>
      <c r="E268" s="17"/>
      <c r="F268" s="17"/>
      <c r="G268" s="17"/>
      <c r="H268" s="17"/>
      <c r="I268" s="17"/>
      <c r="J268" s="26"/>
    </row>
    <row r="269" customFormat="false" ht="12.8" hidden="false" customHeight="false" outlineLevel="0" collapsed="false">
      <c r="A269" s="38" t="n">
        <f aca="false">ROW()-1</f>
        <v>268</v>
      </c>
      <c r="B269" s="61"/>
      <c r="C269" s="16"/>
      <c r="D269" s="58"/>
      <c r="E269" s="17"/>
      <c r="F269" s="17"/>
      <c r="G269" s="17"/>
      <c r="H269" s="17"/>
      <c r="I269" s="17"/>
      <c r="J269" s="26"/>
    </row>
    <row r="270" customFormat="false" ht="12.8" hidden="false" customHeight="false" outlineLevel="0" collapsed="false">
      <c r="A270" s="38" t="n">
        <f aca="false">ROW()-1</f>
        <v>269</v>
      </c>
      <c r="B270" s="61"/>
      <c r="C270" s="16"/>
      <c r="D270" s="58"/>
      <c r="E270" s="17"/>
      <c r="F270" s="17"/>
      <c r="G270" s="17"/>
      <c r="H270" s="17"/>
      <c r="I270" s="17"/>
      <c r="J270" s="26"/>
    </row>
    <row r="271" customFormat="false" ht="12.8" hidden="false" customHeight="false" outlineLevel="0" collapsed="false">
      <c r="A271" s="38" t="n">
        <f aca="false">ROW()-1</f>
        <v>270</v>
      </c>
      <c r="B271" s="61"/>
      <c r="C271" s="16"/>
      <c r="D271" s="58"/>
      <c r="E271" s="17"/>
      <c r="F271" s="17"/>
      <c r="G271" s="17"/>
      <c r="H271" s="17"/>
      <c r="I271" s="17"/>
      <c r="J271" s="26"/>
    </row>
    <row r="272" customFormat="false" ht="12.8" hidden="false" customHeight="false" outlineLevel="0" collapsed="false">
      <c r="A272" s="38" t="n">
        <f aca="false">ROW()-1</f>
        <v>271</v>
      </c>
      <c r="B272" s="61"/>
      <c r="C272" s="16"/>
      <c r="D272" s="58"/>
      <c r="E272" s="17"/>
      <c r="F272" s="17"/>
      <c r="G272" s="17"/>
      <c r="H272" s="17"/>
      <c r="I272" s="17"/>
      <c r="J272" s="26"/>
    </row>
    <row r="273" customFormat="false" ht="12.8" hidden="false" customHeight="false" outlineLevel="0" collapsed="false">
      <c r="A273" s="38" t="n">
        <f aca="false">ROW()-1</f>
        <v>272</v>
      </c>
      <c r="B273" s="61"/>
      <c r="C273" s="16"/>
      <c r="D273" s="58"/>
      <c r="E273" s="17"/>
      <c r="F273" s="17"/>
      <c r="G273" s="17"/>
      <c r="H273" s="17"/>
      <c r="I273" s="17"/>
      <c r="J273" s="26"/>
    </row>
    <row r="274" customFormat="false" ht="12.8" hidden="false" customHeight="false" outlineLevel="0" collapsed="false">
      <c r="A274" s="38" t="n">
        <f aca="false">ROW()-1</f>
        <v>273</v>
      </c>
      <c r="B274" s="61"/>
      <c r="C274" s="16"/>
      <c r="D274" s="58"/>
      <c r="E274" s="17"/>
      <c r="F274" s="17"/>
      <c r="G274" s="17"/>
      <c r="H274" s="17"/>
      <c r="I274" s="17"/>
      <c r="J274" s="26"/>
    </row>
    <row r="275" customFormat="false" ht="12.8" hidden="false" customHeight="false" outlineLevel="0" collapsed="false">
      <c r="A275" s="38" t="n">
        <f aca="false">ROW()-1</f>
        <v>274</v>
      </c>
      <c r="B275" s="61"/>
      <c r="C275" s="16"/>
      <c r="D275" s="58"/>
      <c r="E275" s="17"/>
      <c r="F275" s="17"/>
      <c r="G275" s="17"/>
      <c r="H275" s="17"/>
      <c r="I275" s="17"/>
      <c r="J275" s="26"/>
    </row>
    <row r="276" customFormat="false" ht="12.8" hidden="false" customHeight="false" outlineLevel="0" collapsed="false">
      <c r="A276" s="38" t="n">
        <f aca="false">ROW()-1</f>
        <v>275</v>
      </c>
      <c r="B276" s="61"/>
      <c r="C276" s="16"/>
      <c r="D276" s="58"/>
      <c r="E276" s="17"/>
      <c r="F276" s="17"/>
      <c r="G276" s="17"/>
      <c r="H276" s="17"/>
      <c r="I276" s="17"/>
      <c r="J276" s="26"/>
    </row>
    <row r="277" customFormat="false" ht="12.8" hidden="false" customHeight="false" outlineLevel="0" collapsed="false">
      <c r="A277" s="38" t="n">
        <f aca="false">ROW()-1</f>
        <v>276</v>
      </c>
      <c r="B277" s="61"/>
      <c r="C277" s="16"/>
      <c r="D277" s="58"/>
      <c r="E277" s="17"/>
      <c r="F277" s="17"/>
      <c r="G277" s="17"/>
      <c r="H277" s="17"/>
      <c r="I277" s="17"/>
      <c r="J277" s="26"/>
    </row>
    <row r="278" customFormat="false" ht="12.8" hidden="false" customHeight="false" outlineLevel="0" collapsed="false">
      <c r="A278" s="38" t="n">
        <f aca="false">ROW()-1</f>
        <v>277</v>
      </c>
      <c r="B278" s="61"/>
      <c r="C278" s="16"/>
      <c r="D278" s="58"/>
      <c r="E278" s="17"/>
      <c r="F278" s="17"/>
      <c r="G278" s="17"/>
      <c r="H278" s="17"/>
      <c r="I278" s="17"/>
      <c r="J278" s="26"/>
    </row>
    <row r="279" customFormat="false" ht="12.8" hidden="false" customHeight="false" outlineLevel="0" collapsed="false">
      <c r="A279" s="38" t="n">
        <f aca="false">ROW()-1</f>
        <v>278</v>
      </c>
      <c r="B279" s="61"/>
      <c r="C279" s="16"/>
      <c r="D279" s="58"/>
      <c r="E279" s="17"/>
      <c r="F279" s="17"/>
      <c r="G279" s="17"/>
      <c r="H279" s="17"/>
      <c r="I279" s="17"/>
      <c r="J279" s="26"/>
    </row>
    <row r="280" customFormat="false" ht="12.8" hidden="false" customHeight="false" outlineLevel="0" collapsed="false">
      <c r="A280" s="38" t="n">
        <f aca="false">ROW()-1</f>
        <v>279</v>
      </c>
      <c r="B280" s="61"/>
      <c r="C280" s="16"/>
      <c r="D280" s="58"/>
      <c r="E280" s="17"/>
      <c r="F280" s="17"/>
      <c r="G280" s="17"/>
      <c r="H280" s="17"/>
      <c r="I280" s="17"/>
      <c r="J280" s="26"/>
    </row>
    <row r="281" customFormat="false" ht="12.8" hidden="false" customHeight="false" outlineLevel="0" collapsed="false">
      <c r="A281" s="38" t="n">
        <f aca="false">ROW()-1</f>
        <v>280</v>
      </c>
      <c r="B281" s="61"/>
      <c r="C281" s="16"/>
      <c r="D281" s="58"/>
      <c r="E281" s="17"/>
      <c r="F281" s="17"/>
      <c r="G281" s="17"/>
      <c r="H281" s="17"/>
      <c r="I281" s="17"/>
      <c r="J281" s="26"/>
    </row>
    <row r="282" customFormat="false" ht="12.8" hidden="false" customHeight="false" outlineLevel="0" collapsed="false">
      <c r="A282" s="38" t="n">
        <f aca="false">ROW()-1</f>
        <v>281</v>
      </c>
      <c r="B282" s="61"/>
      <c r="C282" s="16"/>
      <c r="D282" s="58"/>
      <c r="E282" s="17"/>
      <c r="F282" s="17"/>
      <c r="G282" s="17"/>
      <c r="H282" s="17"/>
      <c r="I282" s="17"/>
      <c r="J282" s="26"/>
    </row>
    <row r="283" customFormat="false" ht="12.8" hidden="false" customHeight="false" outlineLevel="0" collapsed="false">
      <c r="A283" s="38" t="n">
        <f aca="false">ROW()-1</f>
        <v>282</v>
      </c>
      <c r="B283" s="61"/>
      <c r="C283" s="16"/>
      <c r="D283" s="58"/>
      <c r="E283" s="17"/>
      <c r="F283" s="17"/>
      <c r="G283" s="17"/>
      <c r="H283" s="17"/>
      <c r="I283" s="17"/>
      <c r="J283" s="26"/>
    </row>
    <row r="284" customFormat="false" ht="12.8" hidden="false" customHeight="false" outlineLevel="0" collapsed="false">
      <c r="A284" s="38" t="n">
        <f aca="false">ROW()-1</f>
        <v>283</v>
      </c>
      <c r="B284" s="61"/>
      <c r="C284" s="16"/>
      <c r="D284" s="58"/>
      <c r="E284" s="17"/>
      <c r="F284" s="17"/>
      <c r="G284" s="17"/>
      <c r="H284" s="17"/>
      <c r="I284" s="17"/>
      <c r="J284" s="26"/>
    </row>
    <row r="285" customFormat="false" ht="12.8" hidden="false" customHeight="false" outlineLevel="0" collapsed="false">
      <c r="A285" s="38" t="n">
        <f aca="false">ROW()-1</f>
        <v>284</v>
      </c>
      <c r="B285" s="61"/>
      <c r="C285" s="16"/>
      <c r="D285" s="58"/>
      <c r="E285" s="17"/>
      <c r="F285" s="17"/>
      <c r="G285" s="17"/>
      <c r="H285" s="17"/>
      <c r="I285" s="17"/>
      <c r="J285" s="26"/>
    </row>
    <row r="286" customFormat="false" ht="12.8" hidden="false" customHeight="false" outlineLevel="0" collapsed="false">
      <c r="A286" s="38" t="n">
        <f aca="false">ROW()-1</f>
        <v>285</v>
      </c>
      <c r="B286" s="61"/>
      <c r="C286" s="16"/>
      <c r="D286" s="58"/>
      <c r="E286" s="17"/>
      <c r="F286" s="17"/>
      <c r="G286" s="17"/>
      <c r="H286" s="17"/>
      <c r="I286" s="17"/>
      <c r="J286" s="26"/>
    </row>
    <row r="287" customFormat="false" ht="12.8" hidden="false" customHeight="false" outlineLevel="0" collapsed="false">
      <c r="A287" s="38" t="n">
        <f aca="false">ROW()-1</f>
        <v>286</v>
      </c>
      <c r="B287" s="61"/>
      <c r="C287" s="16"/>
      <c r="D287" s="58"/>
      <c r="E287" s="17"/>
      <c r="F287" s="17"/>
      <c r="G287" s="17"/>
      <c r="H287" s="17"/>
      <c r="I287" s="17"/>
      <c r="J287" s="26"/>
    </row>
    <row r="288" customFormat="false" ht="12.8" hidden="false" customHeight="false" outlineLevel="0" collapsed="false">
      <c r="A288" s="38" t="n">
        <f aca="false">ROW()-1</f>
        <v>287</v>
      </c>
      <c r="B288" s="61"/>
      <c r="C288" s="16"/>
      <c r="D288" s="58"/>
      <c r="E288" s="17"/>
      <c r="F288" s="17"/>
      <c r="G288" s="17"/>
      <c r="H288" s="17"/>
      <c r="I288" s="17"/>
      <c r="J288" s="26"/>
    </row>
    <row r="289" customFormat="false" ht="12.8" hidden="false" customHeight="false" outlineLevel="0" collapsed="false">
      <c r="A289" s="38" t="n">
        <f aca="false">ROW()-1</f>
        <v>288</v>
      </c>
      <c r="B289" s="61"/>
      <c r="C289" s="16"/>
      <c r="D289" s="58"/>
      <c r="E289" s="17"/>
      <c r="F289" s="17"/>
      <c r="G289" s="17"/>
      <c r="H289" s="17"/>
      <c r="I289" s="17"/>
      <c r="J289" s="26"/>
    </row>
    <row r="290" customFormat="false" ht="12.8" hidden="false" customHeight="false" outlineLevel="0" collapsed="false">
      <c r="A290" s="38" t="n">
        <f aca="false">ROW()-1</f>
        <v>289</v>
      </c>
      <c r="B290" s="61"/>
      <c r="C290" s="16"/>
      <c r="D290" s="58"/>
      <c r="E290" s="17"/>
      <c r="F290" s="17"/>
      <c r="G290" s="17"/>
      <c r="H290" s="17"/>
      <c r="I290" s="17"/>
      <c r="J290" s="26"/>
    </row>
    <row r="291" customFormat="false" ht="12.8" hidden="false" customHeight="false" outlineLevel="0" collapsed="false">
      <c r="A291" s="38" t="n">
        <f aca="false">ROW()-1</f>
        <v>290</v>
      </c>
      <c r="B291" s="61"/>
      <c r="C291" s="16"/>
      <c r="D291" s="58"/>
      <c r="E291" s="17"/>
      <c r="F291" s="17"/>
      <c r="G291" s="17"/>
      <c r="H291" s="17"/>
      <c r="I291" s="17"/>
      <c r="J291" s="26"/>
    </row>
    <row r="292" customFormat="false" ht="12.8" hidden="false" customHeight="false" outlineLevel="0" collapsed="false">
      <c r="A292" s="38" t="n">
        <f aca="false">ROW()-1</f>
        <v>291</v>
      </c>
      <c r="B292" s="61"/>
      <c r="C292" s="16"/>
      <c r="D292" s="58"/>
      <c r="E292" s="17"/>
      <c r="F292" s="17"/>
      <c r="G292" s="17"/>
      <c r="H292" s="17"/>
      <c r="I292" s="17"/>
      <c r="J292" s="26"/>
    </row>
    <row r="293" customFormat="false" ht="12.8" hidden="false" customHeight="false" outlineLevel="0" collapsed="false">
      <c r="A293" s="38" t="n">
        <f aca="false">ROW()-1</f>
        <v>292</v>
      </c>
      <c r="B293" s="61"/>
      <c r="C293" s="16"/>
      <c r="D293" s="58"/>
      <c r="E293" s="17"/>
      <c r="F293" s="17"/>
      <c r="G293" s="17"/>
      <c r="H293" s="17"/>
      <c r="I293" s="17"/>
      <c r="J293" s="26"/>
    </row>
    <row r="294" customFormat="false" ht="12.8" hidden="false" customHeight="false" outlineLevel="0" collapsed="false">
      <c r="A294" s="38" t="n">
        <f aca="false">ROW()-1</f>
        <v>293</v>
      </c>
      <c r="B294" s="61"/>
      <c r="C294" s="16"/>
      <c r="D294" s="58"/>
      <c r="E294" s="17"/>
      <c r="F294" s="17"/>
      <c r="G294" s="17"/>
      <c r="H294" s="17"/>
      <c r="I294" s="17"/>
      <c r="J294" s="26"/>
    </row>
    <row r="295" customFormat="false" ht="12.8" hidden="false" customHeight="false" outlineLevel="0" collapsed="false">
      <c r="A295" s="38" t="n">
        <f aca="false">ROW()-1</f>
        <v>294</v>
      </c>
      <c r="B295" s="61"/>
      <c r="C295" s="16"/>
      <c r="D295" s="58"/>
      <c r="E295" s="17"/>
      <c r="F295" s="17"/>
      <c r="G295" s="17"/>
      <c r="H295" s="17"/>
      <c r="I295" s="17"/>
      <c r="J295" s="26"/>
    </row>
    <row r="296" customFormat="false" ht="12.8" hidden="false" customHeight="false" outlineLevel="0" collapsed="false">
      <c r="A296" s="38" t="n">
        <f aca="false">ROW()-1</f>
        <v>295</v>
      </c>
      <c r="B296" s="61"/>
      <c r="C296" s="16"/>
      <c r="D296" s="58"/>
      <c r="E296" s="17"/>
      <c r="F296" s="17"/>
      <c r="G296" s="17"/>
      <c r="H296" s="17"/>
      <c r="I296" s="17"/>
      <c r="J296" s="26"/>
    </row>
    <row r="297" customFormat="false" ht="12.8" hidden="false" customHeight="false" outlineLevel="0" collapsed="false">
      <c r="A297" s="38" t="n">
        <f aca="false">ROW()-1</f>
        <v>296</v>
      </c>
      <c r="B297" s="61"/>
      <c r="C297" s="16"/>
      <c r="D297" s="58"/>
      <c r="E297" s="17"/>
      <c r="F297" s="17"/>
      <c r="G297" s="17"/>
      <c r="H297" s="17"/>
      <c r="I297" s="17"/>
      <c r="J297" s="26"/>
    </row>
    <row r="298" customFormat="false" ht="12.8" hidden="false" customHeight="false" outlineLevel="0" collapsed="false">
      <c r="A298" s="38" t="n">
        <f aca="false">ROW()-1</f>
        <v>297</v>
      </c>
      <c r="B298" s="61"/>
      <c r="C298" s="16"/>
      <c r="D298" s="58"/>
      <c r="E298" s="17"/>
      <c r="F298" s="17"/>
      <c r="G298" s="17"/>
      <c r="H298" s="17"/>
      <c r="I298" s="17"/>
      <c r="J298" s="26"/>
    </row>
    <row r="299" customFormat="false" ht="12.8" hidden="false" customHeight="false" outlineLevel="0" collapsed="false">
      <c r="A299" s="38" t="n">
        <f aca="false">ROW()-1</f>
        <v>298</v>
      </c>
      <c r="B299" s="61"/>
      <c r="C299" s="16"/>
      <c r="D299" s="58"/>
      <c r="E299" s="17"/>
      <c r="F299" s="17"/>
      <c r="G299" s="17"/>
      <c r="H299" s="17"/>
      <c r="I299" s="17"/>
      <c r="J299" s="26"/>
    </row>
    <row r="300" customFormat="false" ht="12.8" hidden="false" customHeight="false" outlineLevel="0" collapsed="false">
      <c r="A300" s="38" t="n">
        <f aca="false">ROW()-1</f>
        <v>299</v>
      </c>
      <c r="B300" s="61"/>
      <c r="C300" s="16"/>
      <c r="D300" s="58"/>
      <c r="E300" s="17"/>
      <c r="F300" s="17"/>
      <c r="G300" s="17"/>
      <c r="H300" s="17"/>
      <c r="I300" s="17"/>
      <c r="J300" s="26"/>
    </row>
    <row r="301" customFormat="false" ht="12.8" hidden="false" customHeight="false" outlineLevel="0" collapsed="false">
      <c r="A301" s="38" t="n">
        <f aca="false">ROW()-1</f>
        <v>300</v>
      </c>
      <c r="B301" s="61"/>
      <c r="C301" s="16"/>
      <c r="D301" s="58"/>
      <c r="E301" s="17"/>
      <c r="F301" s="17"/>
      <c r="G301" s="17"/>
      <c r="H301" s="17"/>
      <c r="I301" s="17"/>
      <c r="J301" s="26"/>
    </row>
    <row r="302" customFormat="false" ht="12.8" hidden="false" customHeight="false" outlineLevel="0" collapsed="false">
      <c r="A302" s="38" t="n">
        <f aca="false">ROW()-1</f>
        <v>301</v>
      </c>
      <c r="B302" s="61"/>
      <c r="C302" s="16"/>
      <c r="D302" s="58"/>
      <c r="E302" s="17"/>
      <c r="F302" s="17"/>
      <c r="G302" s="17"/>
      <c r="H302" s="17"/>
      <c r="I302" s="17"/>
      <c r="J302" s="26"/>
    </row>
    <row r="303" customFormat="false" ht="12.8" hidden="false" customHeight="false" outlineLevel="0" collapsed="false">
      <c r="A303" s="38" t="n">
        <f aca="false">ROW()-1</f>
        <v>302</v>
      </c>
      <c r="B303" s="61"/>
      <c r="C303" s="16"/>
      <c r="D303" s="58"/>
      <c r="E303" s="17"/>
      <c r="F303" s="17"/>
      <c r="G303" s="17"/>
      <c r="H303" s="17"/>
      <c r="I303" s="17"/>
      <c r="J303" s="26"/>
    </row>
    <row r="304" customFormat="false" ht="12.8" hidden="false" customHeight="false" outlineLevel="0" collapsed="false">
      <c r="A304" s="38" t="n">
        <f aca="false">ROW()-1</f>
        <v>303</v>
      </c>
      <c r="B304" s="61"/>
      <c r="C304" s="16"/>
      <c r="D304" s="58"/>
      <c r="E304" s="17"/>
      <c r="F304" s="17"/>
      <c r="G304" s="17"/>
      <c r="H304" s="17"/>
      <c r="I304" s="17"/>
      <c r="J304" s="26"/>
    </row>
    <row r="305" customFormat="false" ht="12.8" hidden="false" customHeight="false" outlineLevel="0" collapsed="false">
      <c r="A305" s="38" t="n">
        <f aca="false">ROW()-1</f>
        <v>304</v>
      </c>
      <c r="B305" s="61"/>
      <c r="C305" s="16"/>
      <c r="D305" s="58"/>
      <c r="E305" s="17"/>
      <c r="F305" s="17"/>
      <c r="G305" s="17"/>
      <c r="H305" s="17"/>
      <c r="I305" s="17"/>
      <c r="J305" s="26"/>
    </row>
    <row r="306" customFormat="false" ht="12.8" hidden="false" customHeight="false" outlineLevel="0" collapsed="false">
      <c r="A306" s="38" t="n">
        <f aca="false">ROW()-1</f>
        <v>305</v>
      </c>
      <c r="B306" s="61"/>
      <c r="C306" s="16"/>
      <c r="D306" s="58"/>
      <c r="E306" s="17"/>
      <c r="F306" s="17"/>
      <c r="G306" s="17"/>
      <c r="H306" s="17"/>
      <c r="I306" s="17"/>
      <c r="J306" s="26"/>
    </row>
    <row r="307" customFormat="false" ht="12.8" hidden="false" customHeight="false" outlineLevel="0" collapsed="false">
      <c r="A307" s="38" t="n">
        <f aca="false">ROW()-1</f>
        <v>306</v>
      </c>
      <c r="B307" s="61"/>
      <c r="C307" s="16"/>
      <c r="D307" s="58"/>
      <c r="E307" s="17"/>
      <c r="F307" s="17"/>
      <c r="G307" s="17"/>
      <c r="H307" s="17"/>
      <c r="I307" s="17"/>
      <c r="J307" s="26"/>
    </row>
    <row r="308" customFormat="false" ht="12.8" hidden="false" customHeight="false" outlineLevel="0" collapsed="false">
      <c r="A308" s="38" t="n">
        <f aca="false">ROW()-1</f>
        <v>307</v>
      </c>
      <c r="B308" s="61"/>
      <c r="C308" s="16"/>
      <c r="D308" s="58"/>
      <c r="E308" s="17"/>
      <c r="F308" s="17"/>
      <c r="G308" s="17"/>
      <c r="H308" s="17"/>
      <c r="I308" s="17"/>
      <c r="J308" s="26"/>
    </row>
    <row r="309" customFormat="false" ht="12.8" hidden="false" customHeight="false" outlineLevel="0" collapsed="false">
      <c r="A309" s="38" t="n">
        <f aca="false">ROW()-1</f>
        <v>308</v>
      </c>
      <c r="B309" s="61"/>
      <c r="C309" s="16"/>
      <c r="D309" s="58"/>
      <c r="E309" s="17"/>
      <c r="F309" s="17"/>
      <c r="G309" s="17"/>
      <c r="H309" s="17"/>
      <c r="I309" s="17"/>
      <c r="J309" s="26"/>
    </row>
    <row r="310" customFormat="false" ht="12.8" hidden="false" customHeight="false" outlineLevel="0" collapsed="false">
      <c r="A310" s="38" t="n">
        <f aca="false">ROW()-1</f>
        <v>309</v>
      </c>
      <c r="B310" s="61"/>
      <c r="C310" s="16"/>
      <c r="D310" s="58"/>
      <c r="E310" s="17"/>
      <c r="F310" s="17"/>
      <c r="G310" s="17"/>
      <c r="H310" s="17"/>
      <c r="I310" s="17"/>
      <c r="J310" s="26"/>
    </row>
    <row r="311" customFormat="false" ht="12.8" hidden="false" customHeight="false" outlineLevel="0" collapsed="false">
      <c r="A311" s="38" t="n">
        <f aca="false">ROW()-1</f>
        <v>310</v>
      </c>
      <c r="B311" s="61"/>
      <c r="C311" s="16"/>
      <c r="D311" s="58"/>
      <c r="E311" s="17"/>
      <c r="F311" s="17"/>
      <c r="G311" s="17"/>
      <c r="H311" s="17"/>
      <c r="I311" s="17"/>
      <c r="J311" s="26"/>
    </row>
    <row r="312" customFormat="false" ht="12.8" hidden="false" customHeight="false" outlineLevel="0" collapsed="false">
      <c r="A312" s="38" t="n">
        <f aca="false">ROW()-1</f>
        <v>311</v>
      </c>
      <c r="B312" s="61"/>
      <c r="C312" s="16"/>
      <c r="D312" s="58"/>
      <c r="E312" s="17"/>
      <c r="F312" s="17"/>
      <c r="G312" s="17"/>
      <c r="H312" s="17"/>
      <c r="I312" s="17"/>
      <c r="J312" s="26"/>
    </row>
    <row r="313" customFormat="false" ht="12.8" hidden="false" customHeight="false" outlineLevel="0" collapsed="false">
      <c r="A313" s="38" t="n">
        <f aca="false">ROW()-1</f>
        <v>312</v>
      </c>
      <c r="B313" s="61"/>
      <c r="C313" s="16"/>
      <c r="D313" s="58"/>
      <c r="E313" s="17"/>
      <c r="F313" s="17"/>
      <c r="G313" s="17"/>
      <c r="H313" s="17"/>
      <c r="I313" s="17"/>
      <c r="J313" s="26"/>
    </row>
    <row r="314" customFormat="false" ht="12.8" hidden="false" customHeight="false" outlineLevel="0" collapsed="false">
      <c r="A314" s="38" t="n">
        <f aca="false">ROW()-1</f>
        <v>313</v>
      </c>
      <c r="B314" s="61"/>
      <c r="C314" s="16"/>
      <c r="D314" s="58"/>
      <c r="E314" s="17"/>
      <c r="F314" s="17"/>
      <c r="G314" s="17"/>
      <c r="H314" s="17"/>
      <c r="I314" s="17"/>
      <c r="J314" s="26"/>
    </row>
    <row r="315" customFormat="false" ht="12.8" hidden="false" customHeight="false" outlineLevel="0" collapsed="false">
      <c r="A315" s="38" t="n">
        <f aca="false">ROW()-1</f>
        <v>314</v>
      </c>
      <c r="B315" s="61"/>
      <c r="C315" s="16"/>
      <c r="D315" s="58"/>
      <c r="E315" s="17"/>
      <c r="F315" s="17"/>
      <c r="G315" s="17"/>
      <c r="H315" s="17"/>
      <c r="I315" s="17"/>
      <c r="J315" s="26"/>
    </row>
    <row r="316" customFormat="false" ht="12.8" hidden="false" customHeight="false" outlineLevel="0" collapsed="false">
      <c r="A316" s="38" t="n">
        <f aca="false">ROW()-1</f>
        <v>315</v>
      </c>
      <c r="B316" s="61"/>
      <c r="C316" s="16"/>
      <c r="D316" s="58"/>
      <c r="E316" s="17"/>
      <c r="F316" s="17"/>
      <c r="G316" s="17"/>
      <c r="H316" s="17"/>
      <c r="I316" s="17"/>
      <c r="J316" s="26"/>
    </row>
    <row r="317" customFormat="false" ht="12.8" hidden="false" customHeight="false" outlineLevel="0" collapsed="false">
      <c r="A317" s="38" t="n">
        <f aca="false">ROW()-1</f>
        <v>316</v>
      </c>
      <c r="B317" s="61"/>
      <c r="C317" s="16"/>
      <c r="D317" s="58"/>
      <c r="E317" s="17"/>
      <c r="F317" s="17"/>
      <c r="G317" s="17"/>
      <c r="H317" s="17"/>
      <c r="I317" s="17"/>
      <c r="J317" s="26"/>
    </row>
    <row r="318" customFormat="false" ht="12.8" hidden="false" customHeight="false" outlineLevel="0" collapsed="false">
      <c r="A318" s="38" t="n">
        <f aca="false">ROW()-1</f>
        <v>317</v>
      </c>
      <c r="B318" s="61"/>
      <c r="C318" s="16"/>
      <c r="D318" s="58"/>
      <c r="E318" s="17"/>
      <c r="F318" s="17"/>
      <c r="G318" s="17"/>
      <c r="H318" s="17"/>
      <c r="I318" s="17"/>
      <c r="J318" s="26"/>
    </row>
    <row r="319" customFormat="false" ht="12.8" hidden="false" customHeight="false" outlineLevel="0" collapsed="false">
      <c r="A319" s="38" t="n">
        <f aca="false">ROW()-1</f>
        <v>318</v>
      </c>
      <c r="B319" s="61"/>
      <c r="C319" s="16"/>
      <c r="D319" s="58"/>
      <c r="E319" s="17"/>
      <c r="F319" s="17"/>
      <c r="G319" s="17"/>
      <c r="H319" s="17"/>
      <c r="I319" s="17"/>
      <c r="J319" s="26"/>
    </row>
    <row r="320" customFormat="false" ht="12.8" hidden="false" customHeight="false" outlineLevel="0" collapsed="false">
      <c r="A320" s="38" t="n">
        <f aca="false">ROW()-1</f>
        <v>319</v>
      </c>
      <c r="B320" s="61"/>
      <c r="C320" s="16"/>
      <c r="D320" s="58"/>
      <c r="E320" s="17"/>
      <c r="F320" s="17"/>
      <c r="G320" s="17"/>
      <c r="H320" s="17"/>
      <c r="I320" s="17"/>
      <c r="J320" s="26"/>
    </row>
    <row r="321" customFormat="false" ht="12.8" hidden="false" customHeight="false" outlineLevel="0" collapsed="false">
      <c r="A321" s="38" t="n">
        <f aca="false">ROW()-1</f>
        <v>320</v>
      </c>
      <c r="B321" s="61"/>
      <c r="C321" s="16"/>
      <c r="D321" s="58"/>
      <c r="E321" s="17"/>
      <c r="F321" s="17"/>
      <c r="G321" s="17"/>
      <c r="H321" s="17"/>
      <c r="I321" s="17"/>
      <c r="J321" s="26"/>
    </row>
    <row r="322" customFormat="false" ht="12.8" hidden="false" customHeight="false" outlineLevel="0" collapsed="false">
      <c r="A322" s="38" t="n">
        <f aca="false">ROW()-1</f>
        <v>321</v>
      </c>
      <c r="B322" s="61"/>
      <c r="C322" s="16"/>
      <c r="D322" s="58"/>
      <c r="E322" s="17"/>
      <c r="F322" s="17"/>
      <c r="G322" s="17"/>
      <c r="H322" s="17"/>
      <c r="I322" s="17"/>
      <c r="J322" s="26"/>
    </row>
    <row r="323" customFormat="false" ht="12.8" hidden="false" customHeight="false" outlineLevel="0" collapsed="false">
      <c r="A323" s="38" t="n">
        <f aca="false">ROW()-1</f>
        <v>322</v>
      </c>
      <c r="B323" s="61"/>
      <c r="C323" s="16"/>
      <c r="D323" s="58"/>
      <c r="E323" s="17"/>
      <c r="F323" s="17"/>
      <c r="G323" s="17"/>
      <c r="H323" s="17"/>
      <c r="I323" s="17"/>
      <c r="J323" s="26"/>
    </row>
    <row r="324" customFormat="false" ht="12.8" hidden="false" customHeight="false" outlineLevel="0" collapsed="false">
      <c r="A324" s="38" t="n">
        <f aca="false">ROW()-1</f>
        <v>323</v>
      </c>
      <c r="B324" s="61"/>
      <c r="C324" s="16"/>
      <c r="D324" s="58"/>
      <c r="E324" s="17"/>
      <c r="F324" s="17"/>
      <c r="G324" s="17"/>
      <c r="H324" s="17"/>
      <c r="I324" s="17"/>
      <c r="J324" s="26"/>
    </row>
    <row r="325" customFormat="false" ht="12.8" hidden="false" customHeight="false" outlineLevel="0" collapsed="false">
      <c r="A325" s="38" t="n">
        <f aca="false">ROW()-1</f>
        <v>324</v>
      </c>
      <c r="B325" s="61"/>
      <c r="C325" s="16"/>
      <c r="D325" s="58"/>
      <c r="E325" s="17"/>
      <c r="F325" s="17"/>
      <c r="G325" s="17"/>
      <c r="H325" s="17"/>
      <c r="I325" s="17"/>
      <c r="J325" s="26"/>
    </row>
    <row r="326" customFormat="false" ht="12.8" hidden="false" customHeight="false" outlineLevel="0" collapsed="false">
      <c r="A326" s="38" t="n">
        <f aca="false">ROW()-1</f>
        <v>325</v>
      </c>
      <c r="B326" s="61"/>
      <c r="C326" s="16"/>
      <c r="D326" s="58"/>
      <c r="E326" s="17"/>
      <c r="F326" s="17"/>
      <c r="G326" s="17"/>
      <c r="H326" s="17"/>
      <c r="I326" s="17"/>
      <c r="J326" s="26"/>
    </row>
    <row r="327" customFormat="false" ht="12.8" hidden="false" customHeight="false" outlineLevel="0" collapsed="false">
      <c r="A327" s="38" t="n">
        <f aca="false">ROW()-1</f>
        <v>326</v>
      </c>
      <c r="B327" s="61"/>
      <c r="C327" s="16"/>
      <c r="D327" s="58"/>
      <c r="E327" s="17"/>
      <c r="F327" s="17"/>
      <c r="G327" s="17"/>
      <c r="H327" s="17"/>
      <c r="I327" s="17"/>
      <c r="J327" s="26"/>
    </row>
    <row r="328" customFormat="false" ht="12.8" hidden="false" customHeight="false" outlineLevel="0" collapsed="false">
      <c r="A328" s="38" t="n">
        <f aca="false">ROW()-1</f>
        <v>327</v>
      </c>
      <c r="B328" s="61"/>
      <c r="C328" s="16"/>
      <c r="D328" s="58"/>
      <c r="E328" s="17"/>
      <c r="F328" s="17"/>
      <c r="G328" s="17"/>
      <c r="H328" s="17"/>
      <c r="I328" s="17"/>
      <c r="J328" s="26"/>
    </row>
    <row r="329" customFormat="false" ht="12.8" hidden="false" customHeight="false" outlineLevel="0" collapsed="false">
      <c r="A329" s="38" t="n">
        <f aca="false">ROW()-1</f>
        <v>328</v>
      </c>
      <c r="B329" s="61"/>
      <c r="C329" s="16"/>
      <c r="D329" s="58"/>
      <c r="E329" s="17"/>
      <c r="F329" s="17"/>
      <c r="G329" s="17"/>
      <c r="H329" s="17"/>
      <c r="I329" s="17"/>
      <c r="J329" s="26"/>
    </row>
    <row r="330" customFormat="false" ht="12.8" hidden="false" customHeight="false" outlineLevel="0" collapsed="false">
      <c r="A330" s="38" t="n">
        <f aca="false">ROW()-1</f>
        <v>329</v>
      </c>
      <c r="B330" s="61"/>
      <c r="C330" s="16"/>
      <c r="D330" s="58"/>
      <c r="E330" s="17"/>
      <c r="F330" s="17"/>
      <c r="G330" s="17"/>
      <c r="H330" s="17"/>
      <c r="I330" s="17"/>
      <c r="J330" s="26"/>
    </row>
    <row r="331" customFormat="false" ht="12.8" hidden="false" customHeight="false" outlineLevel="0" collapsed="false">
      <c r="A331" s="38" t="n">
        <f aca="false">ROW()-1</f>
        <v>330</v>
      </c>
      <c r="B331" s="61"/>
      <c r="C331" s="16"/>
      <c r="D331" s="58"/>
      <c r="E331" s="17"/>
      <c r="F331" s="17"/>
      <c r="G331" s="17"/>
      <c r="H331" s="17"/>
      <c r="I331" s="17"/>
      <c r="J331" s="26"/>
    </row>
    <row r="332" customFormat="false" ht="12.8" hidden="false" customHeight="false" outlineLevel="0" collapsed="false">
      <c r="A332" s="38" t="n">
        <f aca="false">ROW()-1</f>
        <v>331</v>
      </c>
      <c r="B332" s="61"/>
      <c r="C332" s="16"/>
      <c r="D332" s="58"/>
      <c r="E332" s="17"/>
      <c r="F332" s="17"/>
      <c r="G332" s="17"/>
      <c r="H332" s="17"/>
      <c r="I332" s="17"/>
      <c r="J332" s="26"/>
    </row>
    <row r="333" customFormat="false" ht="12.8" hidden="false" customHeight="false" outlineLevel="0" collapsed="false">
      <c r="A333" s="38" t="n">
        <f aca="false">ROW()-1</f>
        <v>332</v>
      </c>
      <c r="B333" s="61"/>
      <c r="C333" s="16"/>
      <c r="D333" s="58"/>
      <c r="E333" s="17"/>
      <c r="F333" s="17"/>
      <c r="G333" s="17"/>
      <c r="H333" s="17"/>
      <c r="I333" s="17"/>
      <c r="J333" s="26"/>
    </row>
    <row r="334" customFormat="false" ht="12.8" hidden="false" customHeight="false" outlineLevel="0" collapsed="false">
      <c r="A334" s="38" t="n">
        <f aca="false">ROW()-1</f>
        <v>333</v>
      </c>
      <c r="B334" s="61"/>
      <c r="C334" s="16"/>
      <c r="D334" s="58"/>
      <c r="E334" s="17"/>
      <c r="F334" s="17"/>
      <c r="G334" s="17"/>
      <c r="H334" s="17"/>
      <c r="I334" s="17"/>
      <c r="J334" s="26"/>
    </row>
    <row r="335" customFormat="false" ht="12.8" hidden="false" customHeight="false" outlineLevel="0" collapsed="false">
      <c r="A335" s="38" t="n">
        <f aca="false">ROW()-1</f>
        <v>334</v>
      </c>
      <c r="B335" s="61"/>
      <c r="C335" s="16"/>
      <c r="D335" s="58"/>
      <c r="E335" s="17"/>
      <c r="F335" s="17"/>
      <c r="G335" s="17"/>
      <c r="H335" s="17"/>
      <c r="I335" s="17"/>
      <c r="J335" s="26"/>
    </row>
    <row r="336" customFormat="false" ht="12.8" hidden="false" customHeight="false" outlineLevel="0" collapsed="false">
      <c r="A336" s="38" t="n">
        <f aca="false">ROW()-1</f>
        <v>335</v>
      </c>
      <c r="B336" s="61"/>
      <c r="C336" s="16"/>
      <c r="D336" s="58"/>
      <c r="E336" s="17"/>
      <c r="F336" s="17"/>
      <c r="G336" s="17"/>
      <c r="H336" s="17"/>
      <c r="I336" s="17"/>
      <c r="J336" s="26"/>
    </row>
    <row r="337" customFormat="false" ht="12.8" hidden="false" customHeight="false" outlineLevel="0" collapsed="false">
      <c r="A337" s="38" t="n">
        <f aca="false">ROW()-1</f>
        <v>336</v>
      </c>
      <c r="B337" s="61"/>
      <c r="C337" s="16"/>
      <c r="D337" s="58"/>
      <c r="E337" s="17"/>
      <c r="F337" s="17"/>
      <c r="G337" s="17"/>
      <c r="H337" s="17"/>
      <c r="I337" s="17"/>
      <c r="J337" s="26"/>
    </row>
    <row r="338" customFormat="false" ht="12.8" hidden="false" customHeight="false" outlineLevel="0" collapsed="false">
      <c r="A338" s="38" t="n">
        <f aca="false">ROW()-1</f>
        <v>337</v>
      </c>
      <c r="B338" s="61"/>
      <c r="C338" s="16"/>
      <c r="D338" s="58"/>
      <c r="E338" s="17"/>
      <c r="F338" s="17"/>
      <c r="G338" s="17"/>
      <c r="H338" s="17"/>
      <c r="I338" s="17"/>
      <c r="J338" s="26"/>
    </row>
    <row r="339" customFormat="false" ht="12.8" hidden="false" customHeight="false" outlineLevel="0" collapsed="false">
      <c r="A339" s="38" t="n">
        <f aca="false">ROW()-1</f>
        <v>338</v>
      </c>
      <c r="B339" s="61"/>
      <c r="C339" s="16"/>
      <c r="D339" s="58"/>
      <c r="E339" s="17"/>
      <c r="F339" s="17"/>
      <c r="G339" s="17"/>
      <c r="H339" s="17"/>
      <c r="I339" s="17"/>
      <c r="J339" s="26"/>
    </row>
    <row r="340" customFormat="false" ht="12.8" hidden="false" customHeight="false" outlineLevel="0" collapsed="false">
      <c r="A340" s="38" t="n">
        <f aca="false">ROW()-1</f>
        <v>339</v>
      </c>
      <c r="B340" s="61"/>
      <c r="C340" s="16"/>
      <c r="D340" s="58"/>
      <c r="E340" s="17"/>
      <c r="F340" s="17"/>
      <c r="G340" s="17"/>
      <c r="H340" s="17"/>
      <c r="I340" s="17"/>
      <c r="J340" s="26"/>
    </row>
    <row r="341" customFormat="false" ht="12.8" hidden="false" customHeight="false" outlineLevel="0" collapsed="false">
      <c r="A341" s="38" t="n">
        <f aca="false">ROW()-1</f>
        <v>340</v>
      </c>
      <c r="B341" s="61"/>
      <c r="C341" s="16"/>
      <c r="D341" s="58"/>
      <c r="E341" s="17"/>
      <c r="F341" s="17"/>
      <c r="G341" s="17"/>
      <c r="H341" s="17"/>
      <c r="I341" s="17"/>
      <c r="J341" s="26"/>
    </row>
    <row r="342" customFormat="false" ht="12.8" hidden="false" customHeight="false" outlineLevel="0" collapsed="false">
      <c r="A342" s="38" t="n">
        <f aca="false">ROW()-1</f>
        <v>341</v>
      </c>
      <c r="B342" s="61"/>
      <c r="C342" s="16"/>
      <c r="D342" s="58"/>
      <c r="E342" s="17"/>
      <c r="F342" s="17"/>
      <c r="G342" s="17"/>
      <c r="H342" s="17"/>
      <c r="I342" s="17"/>
      <c r="J342" s="26"/>
    </row>
    <row r="343" customFormat="false" ht="12.8" hidden="false" customHeight="false" outlineLevel="0" collapsed="false">
      <c r="A343" s="38" t="n">
        <f aca="false">ROW()-1</f>
        <v>342</v>
      </c>
      <c r="B343" s="61"/>
      <c r="C343" s="16"/>
      <c r="D343" s="58"/>
      <c r="E343" s="17"/>
      <c r="F343" s="17"/>
      <c r="G343" s="17"/>
      <c r="H343" s="17"/>
      <c r="I343" s="17"/>
      <c r="J343" s="26"/>
    </row>
    <row r="344" customFormat="false" ht="12.8" hidden="false" customHeight="false" outlineLevel="0" collapsed="false">
      <c r="A344" s="38" t="n">
        <f aca="false">ROW()-1</f>
        <v>343</v>
      </c>
      <c r="B344" s="61"/>
      <c r="C344" s="16"/>
      <c r="D344" s="58"/>
      <c r="E344" s="17"/>
      <c r="F344" s="17"/>
      <c r="G344" s="17"/>
      <c r="H344" s="17"/>
      <c r="I344" s="17"/>
      <c r="J344" s="26"/>
    </row>
    <row r="345" customFormat="false" ht="12.8" hidden="false" customHeight="false" outlineLevel="0" collapsed="false">
      <c r="A345" s="38" t="n">
        <f aca="false">ROW()-1</f>
        <v>344</v>
      </c>
      <c r="B345" s="61"/>
      <c r="C345" s="16"/>
      <c r="D345" s="58"/>
      <c r="E345" s="17"/>
      <c r="F345" s="17"/>
      <c r="G345" s="17"/>
      <c r="H345" s="17"/>
      <c r="I345" s="17"/>
      <c r="J345" s="26"/>
    </row>
    <row r="346" customFormat="false" ht="12.8" hidden="false" customHeight="false" outlineLevel="0" collapsed="false">
      <c r="A346" s="38" t="n">
        <f aca="false">ROW()-1</f>
        <v>345</v>
      </c>
      <c r="B346" s="61"/>
      <c r="C346" s="16"/>
      <c r="D346" s="58"/>
      <c r="E346" s="17"/>
      <c r="F346" s="17"/>
      <c r="G346" s="17"/>
      <c r="H346" s="17"/>
      <c r="I346" s="17"/>
      <c r="J346" s="26"/>
    </row>
    <row r="347" customFormat="false" ht="12.8" hidden="false" customHeight="false" outlineLevel="0" collapsed="false">
      <c r="A347" s="38" t="n">
        <f aca="false">ROW()-1</f>
        <v>346</v>
      </c>
      <c r="B347" s="61"/>
      <c r="C347" s="16"/>
      <c r="D347" s="58"/>
      <c r="E347" s="17"/>
      <c r="F347" s="17"/>
      <c r="G347" s="17"/>
      <c r="H347" s="17"/>
      <c r="I347" s="17"/>
      <c r="J347" s="26"/>
    </row>
    <row r="348" customFormat="false" ht="12.8" hidden="false" customHeight="false" outlineLevel="0" collapsed="false">
      <c r="A348" s="38" t="n">
        <f aca="false">ROW()-1</f>
        <v>347</v>
      </c>
      <c r="B348" s="61"/>
      <c r="C348" s="16"/>
      <c r="D348" s="58"/>
      <c r="E348" s="17"/>
      <c r="F348" s="17"/>
      <c r="G348" s="17"/>
      <c r="H348" s="17"/>
      <c r="I348" s="17"/>
      <c r="J348" s="26"/>
    </row>
    <row r="349" customFormat="false" ht="12.8" hidden="false" customHeight="false" outlineLevel="0" collapsed="false">
      <c r="A349" s="38" t="n">
        <f aca="false">ROW()-1</f>
        <v>348</v>
      </c>
      <c r="B349" s="61"/>
      <c r="C349" s="16"/>
      <c r="D349" s="58"/>
      <c r="E349" s="17"/>
      <c r="F349" s="17"/>
      <c r="G349" s="17"/>
      <c r="H349" s="17"/>
      <c r="I349" s="17"/>
      <c r="J349" s="26"/>
    </row>
    <row r="350" customFormat="false" ht="12.8" hidden="false" customHeight="false" outlineLevel="0" collapsed="false">
      <c r="A350" s="38" t="n">
        <f aca="false">ROW()-1</f>
        <v>349</v>
      </c>
      <c r="B350" s="61"/>
      <c r="C350" s="16"/>
      <c r="D350" s="58"/>
      <c r="E350" s="17"/>
      <c r="F350" s="17"/>
      <c r="G350" s="17"/>
      <c r="H350" s="17"/>
      <c r="I350" s="17"/>
      <c r="J350" s="26"/>
    </row>
    <row r="351" customFormat="false" ht="12.8" hidden="false" customHeight="false" outlineLevel="0" collapsed="false">
      <c r="A351" s="38" t="n">
        <f aca="false">ROW()-1</f>
        <v>350</v>
      </c>
      <c r="B351" s="61"/>
      <c r="C351" s="16"/>
      <c r="D351" s="58"/>
      <c r="E351" s="17"/>
      <c r="F351" s="17"/>
      <c r="G351" s="17"/>
      <c r="H351" s="17"/>
      <c r="I351" s="17"/>
      <c r="J351" s="26"/>
    </row>
    <row r="352" customFormat="false" ht="12.8" hidden="false" customHeight="false" outlineLevel="0" collapsed="false">
      <c r="A352" s="38" t="n">
        <f aca="false">ROW()-1</f>
        <v>351</v>
      </c>
      <c r="B352" s="61"/>
      <c r="C352" s="16"/>
      <c r="D352" s="58"/>
      <c r="E352" s="17"/>
      <c r="F352" s="17"/>
      <c r="G352" s="17"/>
      <c r="H352" s="17"/>
      <c r="I352" s="17"/>
      <c r="J352" s="26"/>
    </row>
  </sheetData>
  <hyperlinks>
    <hyperlink ref="B2" r:id="rId1" display="duplicate Zeros"/>
    <hyperlink ref="B3" r:id="rId2" display="remove-element"/>
    <hyperlink ref="B4" r:id="rId3" display="max-consecutive-ones-ii"/>
    <hyperlink ref="B5" r:id="rId4" display="third-maximum-number"/>
    <hyperlink ref="B6" r:id="rId5" display="linkedlist-cycle-entry"/>
    <hyperlink ref="B7" r:id="rId6" display="intersection-of-two-linked-lists"/>
    <hyperlink ref="B8" r:id="rId7" display="remove-nth-node-from-end-of-list"/>
    <hyperlink ref="B9" r:id="rId8" display="reverse-linked-list"/>
    <hyperlink ref="B10" r:id="rId9" display="odd-even-linked-list"/>
    <hyperlink ref="B11" r:id="rId10" display="palindrome-linked-list"/>
    <hyperlink ref="B12" r:id="rId11" display="Design-doubly linkedlist"/>
    <hyperlink ref="B13" r:id="rId12" display="LRU Cache"/>
    <hyperlink ref="B14" r:id="rId13" display="copy-list-with-random-pointer"/>
    <hyperlink ref="B15" r:id="rId14" display="plus-one"/>
    <hyperlink ref="B16" r:id="rId15" display="spiral_matrix"/>
    <hyperlink ref="B17" r:id="rId16" display="pascals-triangle"/>
    <hyperlink ref="B18" r:id="rId17" display="add-binary"/>
    <hyperlink ref="B19" r:id="rId18" display="find-the-index-of-the-first-occurrence-in-a-string"/>
    <hyperlink ref="B20" r:id="rId19" display="longest-common-prefix"/>
    <hyperlink ref="B21" r:id="rId20" display="Rotate Array"/>
    <hyperlink ref="B22" r:id="rId21" display="pascals-triangle-ii"/>
    <hyperlink ref="B23" r:id="rId22" display="reverse-words-in-a-string"/>
    <hyperlink ref="B24" r:id="rId23" display="can-place-flowers"/>
    <hyperlink ref="B25" r:id="rId24" display="isomorphic-strings"/>
    <hyperlink ref="B26" r:id="rId25" display="group-shifted-strings"/>
    <hyperlink ref="B27" r:id="rId26" display="group-anagrams"/>
    <hyperlink ref="B28" r:id="rId27" display="longest-substring-without-repeating-characters"/>
    <hyperlink ref="B29" r:id="rId28" display="two-sum-iii-data-structure-design"/>
    <hyperlink ref="B30" r:id="rId29" display="4sum-ii"/>
    <hyperlink ref="B31" r:id="rId30" display="3SUm"/>
    <hyperlink ref="B32" r:id="rId31" display="unique-word-abbreviation"/>
    <hyperlink ref="B33" r:id="rId32" display="insert-delete-getrandom-o1"/>
    <hyperlink ref="B34" r:id="rId33" display="reverse-linked-list"/>
    <hyperlink ref="B35" r:id="rId34" display="swap-nodes-in-pairs"/>
    <hyperlink ref="B36" r:id="rId35" display="search-in-a-binary-search-tree"/>
    <hyperlink ref="B37" r:id="rId36" display="powx-n"/>
    <hyperlink ref="B38" r:id="rId37" display="product-of-array-except-self"/>
    <hyperlink ref="B39" r:id="rId38" display="partition-array-according-to-given-pivot"/>
    <hyperlink ref="B45" r:id="rId39" display="PowerSet"/>
    <hyperlink ref="B46" r:id="rId40" display="count-primes"/>
    <hyperlink ref="B47" r:id="rId41" display="single-number-ii"/>
    <hyperlink ref="B48" r:id="rId42" display="number-is-a-sum-of-powers-of-three"/>
    <hyperlink ref="B49" r:id="rId43" display="implement-stack-using-queues"/>
    <hyperlink ref="B50" r:id="rId44" display="https://leetcode.com/problems/implement-queue-using-stacks/description/"/>
    <hyperlink ref="B51" r:id="rId45" display="binary-tree-preorder-traversal"/>
    <hyperlink ref="B52" r:id="rId46" display="binary-tree-inorder-traversal"/>
    <hyperlink ref="B53" r:id="rId47" display="binary-tree-postorder-traversal"/>
    <hyperlink ref="B54" r:id="rId48" display="binary-tree-level-order-traversal"/>
    <hyperlink ref="B55" r:id="rId49" display="number-of-islands"/>
    <hyperlink ref="B56" r:id="rId50" display="walls-and-gates"/>
    <hyperlink ref="B57" r:id="rId51" display="valid-parentheses"/>
    <hyperlink ref="B58" r:id="rId52" display="daily-temperatures/"/>
    <hyperlink ref="B59" r:id="rId53" display="evaluate-reverse-polish-notation"/>
    <hyperlink ref="B60" r:id="rId54" display="decode-string"/>
    <hyperlink ref="B61" r:id="rId55" display="flood-fill"/>
    <hyperlink ref="B62" r:id="rId56" display="kth-largest-element-in-an-array"/>
    <hyperlink ref="B63" r:id="rId57" display="top-k-frequent-elements"/>
    <hyperlink ref="B64" r:id="rId58" display="kth-largest-element-in-a-stream"/>
    <hyperlink ref="B65" r:id="rId59" display="last-stone-weight"/>
    <hyperlink ref="B66" r:id="rId60" display="the-k-weakest-rows-in-a-matrix"/>
    <hyperlink ref="B67" r:id="rId61" display="kth-smallest-element-in-a-sorted-matrix"/>
    <hyperlink ref="B68" r:id="rId62" display="k-closest-points-to-origin"/>
    <hyperlink ref="B69" r:id="rId63" display="minimum-cost-to-connect-sticks"/>
    <hyperlink ref="B70" r:id="rId64" display="furthest-building-you-can-reach"/>
    <hyperlink ref="B71" r:id="rId65" display="sqrtx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0"/>
  <sheetViews>
    <sheetView showFormulas="false" showGridLines="true" showRowColHeaders="true" showZeros="true" rightToLeft="false" tabSelected="false" showOutlineSymbols="true" defaultGridColor="true" view="normal" topLeftCell="A4" colorId="64" zoomScale="120" zoomScaleNormal="120" zoomScalePageLayoutView="100" workbookViewId="0">
      <selection pane="topLeft" activeCell="D18" activeCellId="0" sqref="D18"/>
    </sheetView>
  </sheetViews>
  <sheetFormatPr defaultColWidth="11.53515625" defaultRowHeight="12.8" zeroHeight="false" outlineLevelRow="0" outlineLevelCol="0"/>
  <cols>
    <col collapsed="false" customWidth="true" hidden="false" outlineLevel="0" max="2" min="2" style="62" width="32.22"/>
    <col collapsed="false" customWidth="true" hidden="false" outlineLevel="0" max="3" min="3" style="63" width="12.51"/>
    <col collapsed="false" customWidth="true" hidden="false" outlineLevel="0" max="9" min="4" style="2" width="12.51"/>
  </cols>
  <sheetData>
    <row r="1" customFormat="false" ht="12.8" hidden="false" customHeight="true" outlineLevel="0" collapsed="false">
      <c r="A1" s="64" t="s">
        <v>820</v>
      </c>
      <c r="B1" s="64" t="s">
        <v>821</v>
      </c>
      <c r="C1" s="64"/>
      <c r="D1" s="64"/>
      <c r="E1" s="64"/>
      <c r="F1" s="65"/>
      <c r="G1" s="65"/>
      <c r="H1" s="65"/>
      <c r="I1" s="65"/>
    </row>
    <row r="2" customFormat="false" ht="12.8" hidden="false" customHeight="true" outlineLevel="0" collapsed="false">
      <c r="A2" s="66" t="s">
        <v>822</v>
      </c>
      <c r="B2" s="67" t="s">
        <v>823</v>
      </c>
      <c r="C2" s="67"/>
      <c r="D2" s="67"/>
      <c r="E2" s="67"/>
      <c r="F2" s="65"/>
      <c r="G2" s="65"/>
      <c r="H2" s="65"/>
      <c r="I2" s="65"/>
    </row>
    <row r="3" customFormat="false" ht="12.8" hidden="false" customHeight="true" outlineLevel="0" collapsed="false">
      <c r="A3" s="66" t="s">
        <v>824</v>
      </c>
      <c r="B3" s="67" t="s">
        <v>825</v>
      </c>
      <c r="C3" s="67"/>
      <c r="D3" s="67"/>
      <c r="E3" s="67"/>
      <c r="F3" s="65"/>
      <c r="G3" s="65"/>
      <c r="H3" s="65"/>
      <c r="I3" s="65"/>
    </row>
    <row r="4" customFormat="false" ht="12.8" hidden="false" customHeight="true" outlineLevel="0" collapsed="false">
      <c r="A4" s="66" t="s">
        <v>826</v>
      </c>
      <c r="B4" s="67" t="s">
        <v>827</v>
      </c>
      <c r="C4" s="67"/>
      <c r="D4" s="67"/>
      <c r="E4" s="67"/>
      <c r="F4" s="65"/>
      <c r="G4" s="65"/>
      <c r="H4" s="65"/>
      <c r="I4" s="65"/>
    </row>
    <row r="5" customFormat="false" ht="12.8" hidden="false" customHeight="true" outlineLevel="0" collapsed="false">
      <c r="A5" s="66" t="s">
        <v>828</v>
      </c>
      <c r="B5" s="67" t="s">
        <v>829</v>
      </c>
      <c r="C5" s="67"/>
      <c r="D5" s="67"/>
      <c r="E5" s="67"/>
      <c r="F5" s="65"/>
      <c r="G5" s="65"/>
      <c r="H5" s="65"/>
      <c r="I5" s="65"/>
    </row>
    <row r="6" customFormat="false" ht="12.8" hidden="false" customHeight="true" outlineLevel="0" collapsed="false">
      <c r="A6" s="66" t="s">
        <v>830</v>
      </c>
      <c r="B6" s="67" t="s">
        <v>831</v>
      </c>
      <c r="C6" s="67"/>
      <c r="D6" s="67"/>
      <c r="E6" s="67"/>
      <c r="F6" s="65"/>
      <c r="G6" s="65"/>
      <c r="H6" s="65"/>
      <c r="I6" s="65"/>
    </row>
    <row r="7" customFormat="false" ht="12.8" hidden="false" customHeight="true" outlineLevel="0" collapsed="false">
      <c r="A7" s="66" t="s">
        <v>832</v>
      </c>
      <c r="B7" s="67" t="s">
        <v>833</v>
      </c>
      <c r="C7" s="67"/>
      <c r="D7" s="67"/>
      <c r="E7" s="67"/>
      <c r="F7" s="65"/>
      <c r="G7" s="65"/>
      <c r="H7" s="65"/>
      <c r="I7" s="65"/>
    </row>
    <row r="8" customFormat="false" ht="12.8" hidden="false" customHeight="true" outlineLevel="0" collapsed="false">
      <c r="A8" s="66" t="s">
        <v>834</v>
      </c>
      <c r="B8" s="67" t="s">
        <v>835</v>
      </c>
      <c r="C8" s="67"/>
      <c r="D8" s="67"/>
      <c r="E8" s="67"/>
      <c r="F8" s="11" t="s">
        <v>836</v>
      </c>
      <c r="G8" s="65"/>
      <c r="H8" s="65"/>
      <c r="I8" s="65"/>
    </row>
    <row r="9" customFormat="false" ht="12.8" hidden="false" customHeight="true" outlineLevel="0" collapsed="false">
      <c r="D9" s="65"/>
      <c r="E9" s="65"/>
      <c r="F9" s="65"/>
      <c r="G9" s="65"/>
      <c r="H9" s="65"/>
      <c r="I9" s="65"/>
    </row>
    <row r="10" customFormat="false" ht="16.75" hidden="false" customHeight="true" outlineLevel="0" collapsed="false">
      <c r="A10" s="9" t="s">
        <v>1</v>
      </c>
      <c r="B10" s="9" t="s">
        <v>837</v>
      </c>
      <c r="C10" s="37" t="s">
        <v>4</v>
      </c>
      <c r="D10" s="68" t="s">
        <v>8</v>
      </c>
      <c r="E10" s="68" t="s">
        <v>9</v>
      </c>
      <c r="F10" s="68" t="s">
        <v>10</v>
      </c>
      <c r="G10" s="68" t="s">
        <v>11</v>
      </c>
      <c r="H10" s="68" t="s">
        <v>12</v>
      </c>
      <c r="I10" s="68" t="s">
        <v>838</v>
      </c>
    </row>
    <row r="11" customFormat="false" ht="15.5" hidden="false" customHeight="true" outlineLevel="0" collapsed="false">
      <c r="A11" s="38" t="n">
        <f aca="false">ROW()-10</f>
        <v>1</v>
      </c>
      <c r="B11" s="69" t="s">
        <v>839</v>
      </c>
      <c r="C11" s="17" t="n">
        <v>45855</v>
      </c>
      <c r="D11" s="17" t="n">
        <f aca="false">C11+1</f>
        <v>45856</v>
      </c>
      <c r="E11" s="17" t="n">
        <f aca="false">C11+3</f>
        <v>45858</v>
      </c>
      <c r="F11" s="17" t="n">
        <f aca="false">C11+7</f>
        <v>45862</v>
      </c>
      <c r="G11" s="17" t="n">
        <f aca="false">C11+14</f>
        <v>45869</v>
      </c>
      <c r="H11" s="17" t="n">
        <f aca="false">C11+26</f>
        <v>45881</v>
      </c>
      <c r="I11" s="26" t="n">
        <f aca="false">C11+56</f>
        <v>45911</v>
      </c>
    </row>
    <row r="12" s="30" customFormat="true" ht="12.8" hidden="false" customHeight="false" outlineLevel="0" collapsed="false">
      <c r="A12" s="38" t="n">
        <f aca="false">ROW()-10</f>
        <v>2</v>
      </c>
      <c r="B12" s="70" t="s">
        <v>840</v>
      </c>
      <c r="C12" s="17" t="n">
        <v>45855</v>
      </c>
      <c r="D12" s="17" t="n">
        <f aca="false">C12+1</f>
        <v>45856</v>
      </c>
      <c r="E12" s="17" t="n">
        <f aca="false">C12+3</f>
        <v>45858</v>
      </c>
      <c r="F12" s="17" t="n">
        <f aca="false">C12+7</f>
        <v>45862</v>
      </c>
      <c r="G12" s="17" t="n">
        <f aca="false">C12+14</f>
        <v>45869</v>
      </c>
      <c r="H12" s="17" t="n">
        <f aca="false">C12+26</f>
        <v>45881</v>
      </c>
      <c r="I12" s="26" t="n">
        <f aca="false">C12+56</f>
        <v>45911</v>
      </c>
      <c r="XFD12" s="8"/>
    </row>
    <row r="13" customFormat="false" ht="12.8" hidden="false" customHeight="false" outlineLevel="0" collapsed="false">
      <c r="A13" s="38" t="n">
        <f aca="false">ROW()-10</f>
        <v>3</v>
      </c>
      <c r="B13" s="70"/>
      <c r="C13" s="71"/>
      <c r="D13" s="17"/>
      <c r="E13" s="17"/>
      <c r="F13" s="17"/>
      <c r="G13" s="17"/>
      <c r="H13" s="17"/>
      <c r="I13" s="26"/>
    </row>
    <row r="14" customFormat="false" ht="12.8" hidden="false" customHeight="false" outlineLevel="0" collapsed="false">
      <c r="A14" s="38" t="n">
        <f aca="false">ROW()-10</f>
        <v>4</v>
      </c>
      <c r="B14" s="70"/>
      <c r="C14" s="71"/>
      <c r="D14" s="17"/>
      <c r="E14" s="17"/>
      <c r="F14" s="17"/>
      <c r="G14" s="17"/>
      <c r="H14" s="17"/>
      <c r="I14" s="26"/>
    </row>
    <row r="15" customFormat="false" ht="12.8" hidden="false" customHeight="false" outlineLevel="0" collapsed="false">
      <c r="A15" s="38" t="n">
        <f aca="false">ROW()-10</f>
        <v>5</v>
      </c>
      <c r="B15" s="70"/>
      <c r="C15" s="71"/>
      <c r="D15" s="17"/>
      <c r="E15" s="17"/>
      <c r="F15" s="17"/>
      <c r="G15" s="17"/>
      <c r="H15" s="17"/>
      <c r="I15" s="26"/>
    </row>
    <row r="16" customFormat="false" ht="12.8" hidden="false" customHeight="false" outlineLevel="0" collapsed="false">
      <c r="A16" s="38" t="n">
        <f aca="false">ROW()-10</f>
        <v>6</v>
      </c>
      <c r="B16" s="70"/>
      <c r="C16" s="71"/>
      <c r="D16" s="17"/>
      <c r="E16" s="17"/>
      <c r="F16" s="17"/>
      <c r="G16" s="17"/>
      <c r="H16" s="17"/>
      <c r="I16" s="26"/>
    </row>
    <row r="17" customFormat="false" ht="12.8" hidden="false" customHeight="false" outlineLevel="0" collapsed="false">
      <c r="A17" s="38" t="n">
        <f aca="false">ROW()-10</f>
        <v>7</v>
      </c>
      <c r="B17" s="70"/>
      <c r="C17" s="71"/>
      <c r="D17" s="17"/>
      <c r="E17" s="17"/>
      <c r="F17" s="17"/>
      <c r="G17" s="17"/>
      <c r="H17" s="17"/>
      <c r="I17" s="26"/>
    </row>
    <row r="18" customFormat="false" ht="12.8" hidden="false" customHeight="false" outlineLevel="0" collapsed="false">
      <c r="A18" s="38" t="n">
        <f aca="false">ROW()-10</f>
        <v>8</v>
      </c>
      <c r="B18" s="72"/>
      <c r="C18" s="71"/>
      <c r="D18" s="17"/>
      <c r="E18" s="17"/>
      <c r="F18" s="17"/>
      <c r="G18" s="17"/>
      <c r="H18" s="17"/>
      <c r="I18" s="26"/>
    </row>
    <row r="19" customFormat="false" ht="12.8" hidden="false" customHeight="false" outlineLevel="0" collapsed="false">
      <c r="A19" s="38" t="n">
        <f aca="false">ROW()-10</f>
        <v>9</v>
      </c>
      <c r="B19" s="72"/>
      <c r="C19" s="71"/>
      <c r="D19" s="17"/>
      <c r="E19" s="17"/>
      <c r="F19" s="17"/>
      <c r="G19" s="17"/>
      <c r="H19" s="17"/>
      <c r="I19" s="26"/>
    </row>
    <row r="20" customFormat="false" ht="12.8" hidden="false" customHeight="false" outlineLevel="0" collapsed="false">
      <c r="A20" s="38" t="n">
        <f aca="false">ROW()-10</f>
        <v>10</v>
      </c>
      <c r="B20" s="72"/>
      <c r="C20" s="71"/>
      <c r="D20" s="17"/>
      <c r="E20" s="17"/>
      <c r="F20" s="17"/>
      <c r="G20" s="17"/>
      <c r="H20" s="17"/>
      <c r="I20" s="26"/>
    </row>
    <row r="21" customFormat="false" ht="12.8" hidden="false" customHeight="false" outlineLevel="0" collapsed="false">
      <c r="A21" s="38" t="n">
        <f aca="false">ROW()-10</f>
        <v>11</v>
      </c>
      <c r="B21" s="72"/>
      <c r="C21" s="71"/>
      <c r="D21" s="17"/>
      <c r="E21" s="17"/>
      <c r="F21" s="17"/>
      <c r="G21" s="17"/>
      <c r="H21" s="17"/>
      <c r="I21" s="26"/>
    </row>
    <row r="22" customFormat="false" ht="12.8" hidden="false" customHeight="false" outlineLevel="0" collapsed="false">
      <c r="A22" s="38" t="n">
        <f aca="false">ROW()-10</f>
        <v>12</v>
      </c>
      <c r="B22" s="72"/>
      <c r="C22" s="71"/>
      <c r="D22" s="17"/>
      <c r="E22" s="17"/>
      <c r="F22" s="17"/>
      <c r="G22" s="17"/>
      <c r="H22" s="17"/>
      <c r="I22" s="26"/>
    </row>
    <row r="23" customFormat="false" ht="12.8" hidden="false" customHeight="false" outlineLevel="0" collapsed="false">
      <c r="A23" s="38" t="n">
        <f aca="false">ROW()-10</f>
        <v>13</v>
      </c>
      <c r="B23" s="72"/>
      <c r="C23" s="71"/>
      <c r="D23" s="17"/>
      <c r="E23" s="17"/>
      <c r="F23" s="17"/>
      <c r="G23" s="17"/>
      <c r="H23" s="17"/>
      <c r="I23" s="26"/>
    </row>
    <row r="24" customFormat="false" ht="12.8" hidden="false" customHeight="false" outlineLevel="0" collapsed="false">
      <c r="A24" s="38" t="n">
        <f aca="false">ROW()-10</f>
        <v>14</v>
      </c>
      <c r="B24" s="72"/>
      <c r="C24" s="71"/>
      <c r="D24" s="17"/>
      <c r="E24" s="17"/>
      <c r="F24" s="17"/>
      <c r="G24" s="17"/>
      <c r="H24" s="17"/>
      <c r="I24" s="26"/>
    </row>
    <row r="25" customFormat="false" ht="12.8" hidden="false" customHeight="false" outlineLevel="0" collapsed="false">
      <c r="A25" s="38" t="n">
        <f aca="false">ROW()-10</f>
        <v>15</v>
      </c>
      <c r="B25" s="72"/>
      <c r="C25" s="71"/>
      <c r="D25" s="17"/>
      <c r="E25" s="17"/>
      <c r="F25" s="17"/>
      <c r="G25" s="17"/>
      <c r="H25" s="17"/>
      <c r="I25" s="26"/>
    </row>
    <row r="26" customFormat="false" ht="12.8" hidden="false" customHeight="false" outlineLevel="0" collapsed="false">
      <c r="A26" s="38" t="n">
        <f aca="false">ROW()-10</f>
        <v>16</v>
      </c>
      <c r="B26" s="72"/>
      <c r="C26" s="71"/>
      <c r="D26" s="17"/>
      <c r="E26" s="17"/>
      <c r="F26" s="17"/>
      <c r="G26" s="17"/>
      <c r="H26" s="17"/>
      <c r="I26" s="26"/>
    </row>
    <row r="27" customFormat="false" ht="12.8" hidden="false" customHeight="false" outlineLevel="0" collapsed="false">
      <c r="A27" s="38" t="n">
        <f aca="false">ROW()-10</f>
        <v>17</v>
      </c>
      <c r="B27" s="72"/>
      <c r="C27" s="71"/>
      <c r="D27" s="17"/>
      <c r="E27" s="17"/>
      <c r="F27" s="17"/>
      <c r="G27" s="17"/>
      <c r="H27" s="17"/>
      <c r="I27" s="26"/>
    </row>
    <row r="28" customFormat="false" ht="12.8" hidden="false" customHeight="false" outlineLevel="0" collapsed="false">
      <c r="A28" s="38" t="n">
        <f aca="false">ROW()-10</f>
        <v>18</v>
      </c>
      <c r="B28" s="72"/>
      <c r="C28" s="71"/>
      <c r="D28" s="17"/>
      <c r="E28" s="17"/>
      <c r="F28" s="17"/>
      <c r="G28" s="17"/>
      <c r="H28" s="17"/>
      <c r="I28" s="26"/>
    </row>
    <row r="29" customFormat="false" ht="12.8" hidden="false" customHeight="false" outlineLevel="0" collapsed="false">
      <c r="A29" s="38" t="n">
        <f aca="false">ROW()-10</f>
        <v>19</v>
      </c>
      <c r="B29" s="72"/>
      <c r="C29" s="71"/>
      <c r="D29" s="17"/>
      <c r="E29" s="17"/>
      <c r="F29" s="17"/>
      <c r="G29" s="17"/>
      <c r="H29" s="17"/>
      <c r="I29" s="26"/>
    </row>
    <row r="30" customFormat="false" ht="12.8" hidden="false" customHeight="false" outlineLevel="0" collapsed="false">
      <c r="A30" s="38" t="n">
        <f aca="false">ROW()-10</f>
        <v>20</v>
      </c>
      <c r="B30" s="72"/>
      <c r="C30" s="71"/>
      <c r="D30" s="17"/>
      <c r="E30" s="17"/>
      <c r="F30" s="17"/>
      <c r="G30" s="17"/>
      <c r="H30" s="17"/>
      <c r="I30" s="26"/>
    </row>
    <row r="31" customFormat="false" ht="12.8" hidden="false" customHeight="false" outlineLevel="0" collapsed="false">
      <c r="A31" s="38" t="n">
        <f aca="false">ROW()-10</f>
        <v>21</v>
      </c>
      <c r="B31" s="72"/>
      <c r="C31" s="71"/>
      <c r="D31" s="17"/>
      <c r="E31" s="17"/>
      <c r="F31" s="17"/>
      <c r="G31" s="17"/>
      <c r="H31" s="17"/>
      <c r="I31" s="26"/>
    </row>
    <row r="32" customFormat="false" ht="12.8" hidden="false" customHeight="false" outlineLevel="0" collapsed="false">
      <c r="A32" s="38" t="n">
        <f aca="false">ROW()-10</f>
        <v>22</v>
      </c>
      <c r="B32" s="72"/>
      <c r="C32" s="71"/>
      <c r="D32" s="17"/>
      <c r="E32" s="17"/>
      <c r="F32" s="17"/>
      <c r="G32" s="17"/>
      <c r="H32" s="17"/>
      <c r="I32" s="26"/>
    </row>
    <row r="33" customFormat="false" ht="12.8" hidden="false" customHeight="false" outlineLevel="0" collapsed="false">
      <c r="A33" s="38" t="n">
        <f aca="false">ROW()-10</f>
        <v>23</v>
      </c>
      <c r="B33" s="72"/>
      <c r="C33" s="71"/>
      <c r="D33" s="17"/>
      <c r="E33" s="17"/>
      <c r="F33" s="17"/>
      <c r="G33" s="17"/>
      <c r="H33" s="17"/>
      <c r="I33" s="26"/>
    </row>
    <row r="34" customFormat="false" ht="12.8" hidden="false" customHeight="false" outlineLevel="0" collapsed="false">
      <c r="A34" s="38" t="n">
        <f aca="false">ROW()-10</f>
        <v>24</v>
      </c>
      <c r="B34" s="72"/>
      <c r="C34" s="71"/>
      <c r="D34" s="17"/>
      <c r="E34" s="17"/>
      <c r="F34" s="17"/>
      <c r="G34" s="17"/>
      <c r="H34" s="17"/>
      <c r="I34" s="26"/>
    </row>
    <row r="35" customFormat="false" ht="12.8" hidden="false" customHeight="false" outlineLevel="0" collapsed="false">
      <c r="A35" s="38" t="n">
        <f aca="false">ROW()-10</f>
        <v>25</v>
      </c>
      <c r="B35" s="72"/>
      <c r="C35" s="71"/>
      <c r="D35" s="17"/>
      <c r="E35" s="17"/>
      <c r="F35" s="17"/>
      <c r="G35" s="17"/>
      <c r="H35" s="17"/>
      <c r="I35" s="26"/>
    </row>
    <row r="36" customFormat="false" ht="12.8" hidden="false" customHeight="false" outlineLevel="0" collapsed="false">
      <c r="A36" s="38" t="n">
        <f aca="false">ROW()-10</f>
        <v>26</v>
      </c>
      <c r="B36" s="72"/>
      <c r="C36" s="71"/>
      <c r="D36" s="17"/>
      <c r="E36" s="17"/>
      <c r="F36" s="17"/>
      <c r="G36" s="17"/>
      <c r="H36" s="17"/>
      <c r="I36" s="26"/>
    </row>
    <row r="37" customFormat="false" ht="12.8" hidden="false" customHeight="false" outlineLevel="0" collapsed="false">
      <c r="A37" s="38" t="n">
        <f aca="false">ROW()-10</f>
        <v>27</v>
      </c>
      <c r="B37" s="72"/>
      <c r="C37" s="71"/>
      <c r="D37" s="17"/>
      <c r="E37" s="17"/>
      <c r="F37" s="17"/>
      <c r="G37" s="17"/>
      <c r="H37" s="17"/>
      <c r="I37" s="26"/>
    </row>
    <row r="38" customFormat="false" ht="12.8" hidden="false" customHeight="false" outlineLevel="0" collapsed="false">
      <c r="A38" s="38" t="n">
        <f aca="false">ROW()-10</f>
        <v>28</v>
      </c>
      <c r="B38" s="72"/>
      <c r="C38" s="71"/>
      <c r="D38" s="17"/>
      <c r="E38" s="17"/>
      <c r="F38" s="17"/>
      <c r="G38" s="17"/>
      <c r="H38" s="17"/>
      <c r="I38" s="26"/>
    </row>
    <row r="39" customFormat="false" ht="12.8" hidden="false" customHeight="false" outlineLevel="0" collapsed="false">
      <c r="A39" s="38" t="n">
        <f aca="false">ROW()-10</f>
        <v>29</v>
      </c>
      <c r="B39" s="72"/>
      <c r="C39" s="71"/>
      <c r="D39" s="17"/>
      <c r="E39" s="17"/>
      <c r="F39" s="17"/>
      <c r="G39" s="17"/>
      <c r="H39" s="17"/>
      <c r="I39" s="26"/>
    </row>
    <row r="40" customFormat="false" ht="12.8" hidden="false" customHeight="false" outlineLevel="0" collapsed="false">
      <c r="A40" s="42"/>
      <c r="B40" s="72"/>
      <c r="C40" s="71"/>
      <c r="D40" s="17"/>
      <c r="E40" s="17"/>
      <c r="F40" s="17"/>
      <c r="G40" s="17"/>
      <c r="H40" s="17"/>
      <c r="I40" s="26"/>
    </row>
  </sheetData>
  <mergeCells count="8">
    <mergeCell ref="B1:E1"/>
    <mergeCell ref="B2:E2"/>
    <mergeCell ref="B3:E3"/>
    <mergeCell ref="B4:E4"/>
    <mergeCell ref="B5:E5"/>
    <mergeCell ref="B6:E6"/>
    <mergeCell ref="B7:E7"/>
    <mergeCell ref="B8:E8"/>
  </mergeCells>
  <hyperlinks>
    <hyperlink ref="F8" r:id="rId1" display="RevisionNote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8" width="71.79"/>
    <col collapsed="false" customWidth="true" hidden="false" outlineLevel="0" max="2" min="2" style="8" width="54.39"/>
  </cols>
  <sheetData>
    <row r="1" customFormat="false" ht="12.8" hidden="false" customHeight="false" outlineLevel="0" collapsed="false">
      <c r="A1" s="73" t="s">
        <v>841</v>
      </c>
    </row>
    <row r="2" customFormat="false" ht="12.8" hidden="false" customHeight="false" outlineLevel="0" collapsed="false">
      <c r="A2" s="73" t="s">
        <v>842</v>
      </c>
    </row>
    <row r="3" customFormat="false" ht="12.8" hidden="false" customHeight="false" outlineLevel="0" collapsed="false">
      <c r="A3" s="73" t="s">
        <v>843</v>
      </c>
    </row>
    <row r="4" customFormat="false" ht="12.8" hidden="false" customHeight="false" outlineLevel="0" collapsed="false">
      <c r="A4" s="73" t="s">
        <v>844</v>
      </c>
    </row>
    <row r="5" customFormat="false" ht="12.8" hidden="false" customHeight="false" outlineLevel="0" collapsed="false">
      <c r="A5" s="73" t="s">
        <v>845</v>
      </c>
    </row>
    <row r="6" customFormat="false" ht="12.8" hidden="false" customHeight="false" outlineLevel="0" collapsed="false">
      <c r="A6" s="73" t="s">
        <v>846</v>
      </c>
    </row>
    <row r="7" customFormat="false" ht="12.8" hidden="false" customHeight="false" outlineLevel="0" collapsed="false">
      <c r="A7" s="73" t="s">
        <v>847</v>
      </c>
    </row>
    <row r="8" customFormat="false" ht="12.8" hidden="false" customHeight="false" outlineLevel="0" collapsed="false">
      <c r="A8" s="73" t="s">
        <v>848</v>
      </c>
    </row>
    <row r="9" customFormat="false" ht="12.8" hidden="false" customHeight="false" outlineLevel="0" collapsed="false">
      <c r="A9" s="73" t="s">
        <v>849</v>
      </c>
    </row>
    <row r="10" customFormat="false" ht="12.8" hidden="false" customHeight="false" outlineLevel="0" collapsed="false">
      <c r="A10" s="73" t="s">
        <v>850</v>
      </c>
    </row>
    <row r="11" customFormat="false" ht="12.8" hidden="false" customHeight="false" outlineLevel="0" collapsed="false">
      <c r="A11" s="73" t="s">
        <v>851</v>
      </c>
    </row>
    <row r="12" customFormat="false" ht="12.8" hidden="false" customHeight="false" outlineLevel="0" collapsed="false">
      <c r="A12" s="73" t="s">
        <v>852</v>
      </c>
    </row>
    <row r="13" customFormat="false" ht="12.8" hidden="false" customHeight="false" outlineLevel="0" collapsed="false">
      <c r="A13" s="73" t="s">
        <v>853</v>
      </c>
    </row>
    <row r="14" customFormat="false" ht="12.8" hidden="false" customHeight="false" outlineLevel="0" collapsed="false">
      <c r="A14" s="73" t="s">
        <v>854</v>
      </c>
    </row>
    <row r="15" customFormat="false" ht="12.8" hidden="false" customHeight="false" outlineLevel="0" collapsed="false">
      <c r="A15" s="73" t="s">
        <v>855</v>
      </c>
    </row>
    <row r="16" customFormat="false" ht="12.8" hidden="false" customHeight="false" outlineLevel="0" collapsed="false">
      <c r="A16" s="73" t="s">
        <v>856</v>
      </c>
    </row>
    <row r="17" customFormat="false" ht="12.8" hidden="false" customHeight="false" outlineLevel="0" collapsed="false">
      <c r="A17" s="73" t="s">
        <v>857</v>
      </c>
    </row>
    <row r="18" customFormat="false" ht="12.8" hidden="false" customHeight="false" outlineLevel="0" collapsed="false">
      <c r="A18" s="73" t="s">
        <v>858</v>
      </c>
    </row>
    <row r="19" customFormat="false" ht="12.8" hidden="false" customHeight="false" outlineLevel="0" collapsed="false">
      <c r="A19" s="73" t="s">
        <v>859</v>
      </c>
    </row>
    <row r="20" customFormat="false" ht="12.8" hidden="false" customHeight="false" outlineLevel="0" collapsed="false">
      <c r="A20" s="73" t="s">
        <v>860</v>
      </c>
    </row>
    <row r="21" customFormat="false" ht="12.8" hidden="false" customHeight="false" outlineLevel="0" collapsed="false">
      <c r="A21" s="73" t="s">
        <v>861</v>
      </c>
    </row>
    <row r="22" customFormat="false" ht="12.8" hidden="false" customHeight="false" outlineLevel="0" collapsed="false">
      <c r="A22" s="73" t="s">
        <v>862</v>
      </c>
    </row>
    <row r="23" customFormat="false" ht="12.8" hidden="false" customHeight="false" outlineLevel="0" collapsed="false">
      <c r="A23" s="73" t="s">
        <v>863</v>
      </c>
    </row>
    <row r="24" customFormat="false" ht="12.8" hidden="false" customHeight="false" outlineLevel="0" collapsed="false">
      <c r="A24" s="73" t="s">
        <v>864</v>
      </c>
    </row>
    <row r="25" customFormat="false" ht="12.8" hidden="false" customHeight="false" outlineLevel="0" collapsed="false">
      <c r="A25" s="73" t="s">
        <v>865</v>
      </c>
    </row>
    <row r="26" customFormat="false" ht="12.8" hidden="false" customHeight="false" outlineLevel="0" collapsed="false">
      <c r="A26" s="73" t="s">
        <v>866</v>
      </c>
    </row>
    <row r="27" customFormat="false" ht="12.8" hidden="false" customHeight="false" outlineLevel="0" collapsed="false">
      <c r="A27" s="73" t="s">
        <v>867</v>
      </c>
    </row>
    <row r="28" customFormat="false" ht="12.8" hidden="false" customHeight="false" outlineLevel="0" collapsed="false">
      <c r="A28" s="73" t="s">
        <v>868</v>
      </c>
    </row>
    <row r="29" customFormat="false" ht="12.8" hidden="false" customHeight="false" outlineLevel="0" collapsed="false">
      <c r="A29" s="73" t="s">
        <v>869</v>
      </c>
    </row>
    <row r="30" customFormat="false" ht="12.8" hidden="false" customHeight="false" outlineLevel="0" collapsed="false">
      <c r="A30" s="73" t="s">
        <v>870</v>
      </c>
    </row>
    <row r="31" customFormat="false" ht="12.8" hidden="false" customHeight="false" outlineLevel="0" collapsed="false">
      <c r="A31" s="73" t="s">
        <v>871</v>
      </c>
    </row>
    <row r="32" customFormat="false" ht="12.8" hidden="false" customHeight="false" outlineLevel="0" collapsed="false">
      <c r="A32" s="73" t="s">
        <v>872</v>
      </c>
    </row>
    <row r="33" customFormat="false" ht="12.8" hidden="false" customHeight="false" outlineLevel="0" collapsed="false">
      <c r="A33" s="73" t="s">
        <v>873</v>
      </c>
    </row>
  </sheetData>
  <hyperlinks>
    <hyperlink ref="A1" r:id="rId1" display="inversion-count-in-array-using-merge-sort"/>
    <hyperlink ref="A2" r:id="rId2" display="count-number-subarrays-given-xor"/>
    <hyperlink ref="A3" r:id="rId3" display="meetings-in-one-room"/>
    <hyperlink ref="A4" r:id="rId4" display="job-sequencing-problem"/>
    <hyperlink ref="A5" r:id="rId5" display="fractional-knapsack"/>
    <hyperlink ref="A6" r:id="rId6" display="subset-sum-problem-dp-25"/>
    <hyperlink ref="A7" r:id="rId7" display="m-coloring-problem"/>
    <hyperlink ref="A8" r:id="rId8" display="rat-in-a-maze"/>
    <hyperlink ref="A9" r:id="rId9" display="nth-root-of-a-number"/>
    <hyperlink ref="A10" r:id="rId10" display="find-median-row-wise-sorted-matrix"/>
    <hyperlink ref="A11" r:id="rId11" display="Heap Implementation"/>
    <hyperlink ref="A12" r:id="rId12" display="k-maximum-sum-combinations-two-arrays"/>
    <hyperlink ref="A13" r:id="rId13" display="implement-stack-using-array"/>
    <hyperlink ref="A14" r:id="rId14" display="array-implementation-of-queue-simple"/>
    <hyperlink ref="A15" r:id="rId15" display="next-smaller-element"/>
    <hyperlink ref="A16" r:id="rId16" display="maximum-of-minimum-for-every-window-size3453"/>
    <hyperlink ref="A17" r:id="rId17" display="print-nodes-top-view-binary-tree"/>
    <hyperlink ref="A18" r:id="rId18" display="bottom-view-of-binary-tree"/>
    <hyperlink ref="A19" r:id="rId19" display="morris-traversal-for-preorder"/>
    <hyperlink ref="A20" r:id="rId20" display="check-for-children-sum-property-in-a-binary-tree"/>
    <hyperlink ref="A21" r:id="rId21" display="inorder-predecessor-successor-given-key-bst"/>
    <hyperlink ref="A22" r:id="rId22" display="floor-and-ceil-from-a-bst"/>
    <hyperlink ref="A23" r:id="rId23" display="count-distinct-elements-in-every-window-of-size-k"/>
    <hyperlink ref="A24" r:id="rId24" display="depth-first-search-or-dfs-for-a-graph"/>
    <hyperlink ref="A25" r:id="rId25" display="dijkstras-shortest-path-algorithm-greedy-algo-7"/>
    <hyperlink ref="A26" r:id="rId26" display="implementing-floyd-warshall2042"/>
    <hyperlink ref="A27" r:id="rId27" display="minimum-spanning-tree"/>
    <hyperlink ref="A28" r:id="rId28" display="matrix-chain-multiplication-dp-8"/>
    <hyperlink ref="A29" r:id="rId29" display="0-1-knapsack-problem-dp-10"/>
    <hyperlink ref="A30" r:id="rId30" display="weighted-job-scheduling"/>
    <hyperlink ref="A31" r:id="rId31" display="trie-insert-and-search"/>
    <hyperlink ref="A32" r:id="rId32" display="longest-valid-word-with-all-prefixes"/>
    <hyperlink ref="A33" r:id="rId33" display="longest-word-in-dictionary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34"/>
  <legacyDrawing r:id="rId3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6" name="Push Button 1">
              <controlPr defaultSize="0" print="true" autoFill="0" autoPict="0">
                <anchor moveWithCells="true" sizeWithCells="false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1</xdr:col>
                    <xdr:colOff>-3676320</xdr:colOff>
                    <xdr:row>1</xdr:row>
                    <xdr:rowOff>28440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5" activeCellId="0" sqref="D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0" width="31.57"/>
    <col collapsed="false" customWidth="true" hidden="false" outlineLevel="0" max="2" min="2" style="30" width="29.07"/>
    <col collapsed="false" customWidth="true" hidden="false" outlineLevel="0" max="3" min="3" style="30" width="24.76"/>
    <col collapsed="false" customWidth="true" hidden="false" outlineLevel="0" max="4" min="4" style="30" width="41.73"/>
    <col collapsed="false" customWidth="true" hidden="false" outlineLevel="0" max="5" min="5" style="30" width="45.22"/>
  </cols>
  <sheetData>
    <row r="1" customFormat="false" ht="12.8" hidden="false" customHeight="false" outlineLevel="0" collapsed="false">
      <c r="A1" s="74" t="s">
        <v>874</v>
      </c>
      <c r="B1" s="75" t="s">
        <v>875</v>
      </c>
      <c r="C1" s="75" t="s">
        <v>876</v>
      </c>
      <c r="D1" s="31" t="s">
        <v>877</v>
      </c>
      <c r="E1" s="31" t="s">
        <v>878</v>
      </c>
    </row>
    <row r="2" customFormat="false" ht="23.85" hidden="false" customHeight="false" outlineLevel="0" collapsed="false">
      <c r="A2" s="30" t="s">
        <v>879</v>
      </c>
      <c r="B2" s="30" t="s">
        <v>880</v>
      </c>
      <c r="C2" s="30" t="s">
        <v>881</v>
      </c>
      <c r="D2" s="76" t="s">
        <v>882</v>
      </c>
      <c r="E2" s="15" t="s">
        <v>883</v>
      </c>
    </row>
    <row r="3" customFormat="false" ht="23.85" hidden="false" customHeight="false" outlineLevel="0" collapsed="false">
      <c r="A3" s="30" t="s">
        <v>884</v>
      </c>
      <c r="B3" s="30" t="s">
        <v>885</v>
      </c>
      <c r="C3" s="30" t="s">
        <v>574</v>
      </c>
      <c r="D3" s="76" t="s">
        <v>886</v>
      </c>
      <c r="E3" s="15" t="s">
        <v>887</v>
      </c>
    </row>
    <row r="4" customFormat="false" ht="12.8" hidden="false" customHeight="false" outlineLevel="0" collapsed="false">
      <c r="A4" s="30" t="s">
        <v>888</v>
      </c>
      <c r="B4" s="30" t="s">
        <v>889</v>
      </c>
      <c r="C4" s="77" t="s">
        <v>890</v>
      </c>
      <c r="D4" s="76" t="s">
        <v>891</v>
      </c>
      <c r="E4" s="15" t="s">
        <v>892</v>
      </c>
    </row>
    <row r="5" customFormat="false" ht="12.8" hidden="false" customHeight="false" outlineLevel="0" collapsed="false">
      <c r="A5" s="30" t="s">
        <v>893</v>
      </c>
      <c r="B5" s="30" t="s">
        <v>894</v>
      </c>
      <c r="C5" s="77" t="s">
        <v>895</v>
      </c>
    </row>
    <row r="6" customFormat="false" ht="12.8" hidden="false" customHeight="false" outlineLevel="0" collapsed="false">
      <c r="A6" s="30" t="s">
        <v>896</v>
      </c>
      <c r="B6" s="30" t="s">
        <v>897</v>
      </c>
    </row>
    <row r="7" customFormat="false" ht="12.8" hidden="false" customHeight="false" outlineLevel="0" collapsed="false">
      <c r="A7" s="30" t="s">
        <v>532</v>
      </c>
    </row>
    <row r="12" customFormat="false" ht="12.8" hidden="false" customHeight="false" outlineLevel="0" collapsed="false">
      <c r="A12" s="78"/>
      <c r="B12" s="78"/>
    </row>
    <row r="13" customFormat="false" ht="35.8" hidden="false" customHeight="true" outlineLevel="0" collapsed="false">
      <c r="A13" s="79" t="s">
        <v>898</v>
      </c>
      <c r="B13" s="79"/>
    </row>
    <row r="14" customFormat="false" ht="12.8" hidden="false" customHeight="false" outlineLevel="0" collapsed="false">
      <c r="A14" s="46" t="s">
        <v>899</v>
      </c>
      <c r="B14" s="46" t="s">
        <v>900</v>
      </c>
    </row>
    <row r="15" customFormat="false" ht="35.05" hidden="false" customHeight="false" outlineLevel="0" collapsed="false">
      <c r="A15" s="24" t="s">
        <v>901</v>
      </c>
      <c r="B15" s="24" t="s">
        <v>902</v>
      </c>
    </row>
    <row r="16" customFormat="false" ht="23.85" hidden="false" customHeight="false" outlineLevel="0" collapsed="false">
      <c r="A16" s="24" t="s">
        <v>903</v>
      </c>
      <c r="B16" s="24" t="s">
        <v>904</v>
      </c>
    </row>
    <row r="17" customFormat="false" ht="23.85" hidden="false" customHeight="false" outlineLevel="0" collapsed="false">
      <c r="A17" s="24" t="s">
        <v>905</v>
      </c>
      <c r="B17" s="24" t="s">
        <v>906</v>
      </c>
    </row>
    <row r="18" customFormat="false" ht="12.8" hidden="false" customHeight="false" outlineLevel="0" collapsed="false">
      <c r="A18" s="78"/>
      <c r="B18" s="78"/>
    </row>
    <row r="19" customFormat="false" ht="19.7" hidden="false" customHeight="true" outlineLevel="0" collapsed="false">
      <c r="A19" s="79" t="s">
        <v>907</v>
      </c>
      <c r="B19" s="79"/>
    </row>
    <row r="20" customFormat="false" ht="12.8" hidden="false" customHeight="true" outlineLevel="0" collapsed="false">
      <c r="A20" s="80" t="s">
        <v>908</v>
      </c>
      <c r="B20" s="80"/>
    </row>
    <row r="21" customFormat="false" ht="12.8" hidden="false" customHeight="true" outlineLevel="0" collapsed="false">
      <c r="A21" s="80" t="s">
        <v>909</v>
      </c>
      <c r="B21" s="80"/>
    </row>
    <row r="22" customFormat="false" ht="12.8" hidden="false" customHeight="true" outlineLevel="0" collapsed="false">
      <c r="A22" s="80" t="s">
        <v>910</v>
      </c>
      <c r="B22" s="80"/>
    </row>
    <row r="23" customFormat="false" ht="12.8" hidden="false" customHeight="true" outlineLevel="0" collapsed="false">
      <c r="A23" s="80" t="s">
        <v>911</v>
      </c>
      <c r="B23" s="80"/>
    </row>
    <row r="26" customFormat="false" ht="12.8" hidden="false" customHeight="false" outlineLevel="0" collapsed="false">
      <c r="A26" s="46" t="s">
        <v>912</v>
      </c>
      <c r="B26" s="46" t="s">
        <v>913</v>
      </c>
      <c r="C26" s="46" t="s">
        <v>914</v>
      </c>
      <c r="D26" s="46" t="s">
        <v>145</v>
      </c>
      <c r="E26" s="46" t="s">
        <v>915</v>
      </c>
    </row>
    <row r="27" customFormat="false" ht="23.85" hidden="false" customHeight="false" outlineLevel="0" collapsed="false">
      <c r="A27" s="81" t="s">
        <v>146</v>
      </c>
      <c r="B27" s="24" t="s">
        <v>916</v>
      </c>
      <c r="C27" s="24" t="s">
        <v>917</v>
      </c>
      <c r="D27" s="24" t="s">
        <v>918</v>
      </c>
      <c r="E27" s="24" t="s">
        <v>919</v>
      </c>
    </row>
    <row r="28" customFormat="false" ht="46.25" hidden="false" customHeight="false" outlineLevel="0" collapsed="false">
      <c r="A28" s="81" t="s">
        <v>149</v>
      </c>
      <c r="B28" s="24" t="s">
        <v>920</v>
      </c>
      <c r="C28" s="24" t="s">
        <v>917</v>
      </c>
      <c r="D28" s="24" t="s">
        <v>921</v>
      </c>
      <c r="E28" s="24" t="s">
        <v>922</v>
      </c>
    </row>
    <row r="35" customFormat="false" ht="12.8" hidden="false" customHeight="false" outlineLevel="0" collapsed="false">
      <c r="A35" s="46" t="s">
        <v>923</v>
      </c>
      <c r="B35" s="46" t="s">
        <v>924</v>
      </c>
    </row>
    <row r="36" customFormat="false" ht="23.85" hidden="false" customHeight="false" outlineLevel="0" collapsed="false">
      <c r="A36" s="81" t="s">
        <v>925</v>
      </c>
      <c r="B36" s="24" t="s">
        <v>926</v>
      </c>
      <c r="D36" s="50" t="s">
        <v>927</v>
      </c>
    </row>
    <row r="37" customFormat="false" ht="23.85" hidden="false" customHeight="false" outlineLevel="0" collapsed="false">
      <c r="A37" s="81" t="s">
        <v>928</v>
      </c>
      <c r="B37" s="24" t="s">
        <v>929</v>
      </c>
      <c r="D37" s="24" t="s">
        <v>930</v>
      </c>
    </row>
    <row r="38" customFormat="false" ht="23.85" hidden="false" customHeight="false" outlineLevel="0" collapsed="false">
      <c r="A38" s="81" t="s">
        <v>931</v>
      </c>
      <c r="B38" s="24" t="s">
        <v>932</v>
      </c>
      <c r="D38" s="24" t="s">
        <v>933</v>
      </c>
    </row>
    <row r="39" customFormat="false" ht="35.05" hidden="false" customHeight="false" outlineLevel="0" collapsed="false">
      <c r="A39" s="81" t="s">
        <v>934</v>
      </c>
      <c r="B39" s="24" t="s">
        <v>935</v>
      </c>
      <c r="D39" s="24" t="s">
        <v>936</v>
      </c>
    </row>
    <row r="40" customFormat="false" ht="23.85" hidden="false" customHeight="false" outlineLevel="0" collapsed="false">
      <c r="A40" s="81" t="s">
        <v>937</v>
      </c>
      <c r="B40" s="24" t="s">
        <v>938</v>
      </c>
      <c r="D40" s="24" t="s">
        <v>939</v>
      </c>
    </row>
    <row r="41" customFormat="false" ht="23.85" hidden="false" customHeight="false" outlineLevel="0" collapsed="false">
      <c r="A41" s="81" t="s">
        <v>940</v>
      </c>
      <c r="B41" s="24" t="s">
        <v>941</v>
      </c>
      <c r="D41" s="24" t="s">
        <v>942</v>
      </c>
    </row>
    <row r="42" customFormat="false" ht="35.05" hidden="false" customHeight="false" outlineLevel="0" collapsed="false">
      <c r="A42" s="81" t="s">
        <v>943</v>
      </c>
      <c r="B42" s="24" t="s">
        <v>944</v>
      </c>
      <c r="D42" s="24" t="s">
        <v>945</v>
      </c>
    </row>
    <row r="43" customFormat="false" ht="23.85" hidden="false" customHeight="false" outlineLevel="0" collapsed="false">
      <c r="A43" s="81" t="s">
        <v>946</v>
      </c>
      <c r="B43" s="24" t="s">
        <v>947</v>
      </c>
      <c r="D43" s="24" t="s">
        <v>948</v>
      </c>
    </row>
    <row r="44" customFormat="false" ht="23.85" hidden="false" customHeight="false" outlineLevel="0" collapsed="false">
      <c r="A44" s="81" t="s">
        <v>949</v>
      </c>
      <c r="B44" s="24" t="s">
        <v>950</v>
      </c>
      <c r="D44" s="24" t="s">
        <v>951</v>
      </c>
    </row>
    <row r="45" customFormat="false" ht="23.85" hidden="false" customHeight="false" outlineLevel="0" collapsed="false">
      <c r="A45" s="81" t="s">
        <v>952</v>
      </c>
      <c r="B45" s="24" t="s">
        <v>953</v>
      </c>
      <c r="D45" s="24" t="s">
        <v>954</v>
      </c>
    </row>
    <row r="46" customFormat="false" ht="12.8" hidden="false" customHeight="false" outlineLevel="0" collapsed="false">
      <c r="D46" s="24" t="s">
        <v>955</v>
      </c>
    </row>
    <row r="47" customFormat="false" ht="23.85" hidden="false" customHeight="false" outlineLevel="0" collapsed="false">
      <c r="D47" s="24" t="s">
        <v>956</v>
      </c>
    </row>
  </sheetData>
  <mergeCells count="8">
    <mergeCell ref="A12:B12"/>
    <mergeCell ref="A13:B13"/>
    <mergeCell ref="A18:B18"/>
    <mergeCell ref="A19:B19"/>
    <mergeCell ref="A20:B20"/>
    <mergeCell ref="A21:B21"/>
    <mergeCell ref="A22:B22"/>
    <mergeCell ref="A23:B2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26" activeCellId="0" sqref="D2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29" width="26.71"/>
    <col collapsed="false" customWidth="true" hidden="false" outlineLevel="0" max="3" min="3" style="8" width="27.42"/>
    <col collapsed="false" customWidth="true" hidden="false" outlineLevel="0" max="4" min="4" style="8" width="15.99"/>
  </cols>
  <sheetData>
    <row r="1" customFormat="false" ht="26.1" hidden="false" customHeight="true" outlineLevel="0" collapsed="false">
      <c r="A1" s="9" t="s">
        <v>1</v>
      </c>
      <c r="B1" s="9" t="s">
        <v>2</v>
      </c>
      <c r="C1" s="9" t="s">
        <v>686</v>
      </c>
    </row>
    <row r="2" customFormat="false" ht="12.8" hidden="false" customHeight="false" outlineLevel="0" collapsed="false">
      <c r="A2" s="38" t="n">
        <f aca="false">ROW()-1</f>
        <v>1</v>
      </c>
      <c r="B2" s="11" t="s">
        <v>957</v>
      </c>
      <c r="C2" s="11" t="s">
        <v>750</v>
      </c>
    </row>
    <row r="3" customFormat="false" ht="12.8" hidden="false" customHeight="false" outlineLevel="0" collapsed="false">
      <c r="A3" s="38" t="n">
        <f aca="false">ROW()-1</f>
        <v>2</v>
      </c>
      <c r="B3" s="11" t="s">
        <v>705</v>
      </c>
      <c r="C3" s="11" t="s">
        <v>750</v>
      </c>
    </row>
    <row r="4" customFormat="false" ht="12.8" hidden="false" customHeight="false" outlineLevel="0" collapsed="false">
      <c r="A4" s="38" t="n">
        <f aca="false">ROW()-1</f>
        <v>3</v>
      </c>
      <c r="B4" s="60" t="s">
        <v>958</v>
      </c>
      <c r="C4" s="11" t="s">
        <v>750</v>
      </c>
    </row>
    <row r="5" customFormat="false" ht="12.8" hidden="false" customHeight="false" outlineLevel="0" collapsed="false">
      <c r="A5" s="38" t="n">
        <f aca="false">ROW()-1</f>
        <v>4</v>
      </c>
      <c r="B5" s="60" t="s">
        <v>710</v>
      </c>
      <c r="C5" s="11" t="s">
        <v>750</v>
      </c>
    </row>
    <row r="6" customFormat="false" ht="12.8" hidden="false" customHeight="false" outlineLevel="0" collapsed="false">
      <c r="A6" s="38" t="n">
        <f aca="false">ROW()-1</f>
        <v>5</v>
      </c>
      <c r="B6" s="60" t="s">
        <v>716</v>
      </c>
      <c r="C6" s="11" t="s">
        <v>482</v>
      </c>
    </row>
    <row r="7" customFormat="false" ht="12.8" hidden="false" customHeight="false" outlineLevel="0" collapsed="false">
      <c r="A7" s="38" t="n">
        <f aca="false">ROW()-1</f>
        <v>6</v>
      </c>
      <c r="B7" s="11" t="s">
        <v>720</v>
      </c>
      <c r="C7" s="11" t="s">
        <v>959</v>
      </c>
    </row>
    <row r="8" customFormat="false" ht="12.8" hidden="false" customHeight="false" outlineLevel="0" collapsed="false">
      <c r="A8" s="38" t="n">
        <f aca="false">ROW()-1</f>
        <v>7</v>
      </c>
      <c r="B8" s="11" t="s">
        <v>720</v>
      </c>
      <c r="C8" s="11" t="s">
        <v>960</v>
      </c>
    </row>
    <row r="9" customFormat="false" ht="12.8" hidden="false" customHeight="false" outlineLevel="0" collapsed="false">
      <c r="A9" s="38" t="n">
        <f aca="false">ROW()-1</f>
        <v>8</v>
      </c>
      <c r="B9" s="11" t="s">
        <v>722</v>
      </c>
      <c r="C9" s="11" t="s">
        <v>961</v>
      </c>
    </row>
    <row r="10" customFormat="false" ht="12.8" hidden="false" customHeight="false" outlineLevel="0" collapsed="false">
      <c r="A10" s="38" t="n">
        <f aca="false">ROW()-1</f>
        <v>9</v>
      </c>
      <c r="B10" s="60" t="s">
        <v>962</v>
      </c>
      <c r="C10" s="43"/>
    </row>
    <row r="11" customFormat="false" ht="12.8" hidden="false" customHeight="false" outlineLevel="0" collapsed="false">
      <c r="A11" s="38" t="n">
        <f aca="false">ROW()-1</f>
        <v>10</v>
      </c>
      <c r="B11" s="60" t="s">
        <v>963</v>
      </c>
      <c r="C11" s="43"/>
    </row>
    <row r="12" customFormat="false" ht="12.8" hidden="false" customHeight="false" outlineLevel="0" collapsed="false">
      <c r="A12" s="38" t="n">
        <f aca="false">ROW()-1</f>
        <v>11</v>
      </c>
      <c r="B12" s="60" t="s">
        <v>742</v>
      </c>
      <c r="C12" s="43"/>
    </row>
    <row r="13" customFormat="false" ht="12.8" hidden="false" customHeight="false" outlineLevel="0" collapsed="false">
      <c r="A13" s="38" t="n">
        <f aca="false">ROW()-1</f>
        <v>12</v>
      </c>
      <c r="B13" s="60" t="s">
        <v>802</v>
      </c>
      <c r="C13" s="43"/>
    </row>
    <row r="14" customFormat="false" ht="12.8" hidden="false" customHeight="false" outlineLevel="0" collapsed="false">
      <c r="A14" s="38" t="n">
        <f aca="false">ROW()-1</f>
        <v>13</v>
      </c>
      <c r="B14" s="60"/>
      <c r="C14" s="43"/>
    </row>
    <row r="15" customFormat="false" ht="12.8" hidden="false" customHeight="false" outlineLevel="0" collapsed="false">
      <c r="A15" s="38" t="n">
        <f aca="false">ROW()-1</f>
        <v>14</v>
      </c>
      <c r="B15" s="60"/>
      <c r="C15" s="43"/>
    </row>
    <row r="16" customFormat="false" ht="12.8" hidden="false" customHeight="false" outlineLevel="0" collapsed="false">
      <c r="A16" s="38" t="n">
        <f aca="false">ROW()-1</f>
        <v>15</v>
      </c>
      <c r="B16" s="60"/>
      <c r="C16" s="43"/>
    </row>
    <row r="17" customFormat="false" ht="12.8" hidden="false" customHeight="false" outlineLevel="0" collapsed="false">
      <c r="A17" s="38" t="n">
        <f aca="false">ROW()-1</f>
        <v>16</v>
      </c>
      <c r="B17" s="60"/>
      <c r="C17" s="43"/>
    </row>
    <row r="18" customFormat="false" ht="12.8" hidden="false" customHeight="false" outlineLevel="0" collapsed="false">
      <c r="A18" s="38" t="n">
        <f aca="false">ROW()-1</f>
        <v>17</v>
      </c>
      <c r="B18" s="60"/>
      <c r="C18" s="43"/>
    </row>
    <row r="19" customFormat="false" ht="12.8" hidden="false" customHeight="false" outlineLevel="0" collapsed="false">
      <c r="A19" s="38" t="n">
        <f aca="false">ROW()-1</f>
        <v>18</v>
      </c>
      <c r="B19" s="60"/>
      <c r="C19" s="43"/>
    </row>
    <row r="20" customFormat="false" ht="12.8" hidden="false" customHeight="false" outlineLevel="0" collapsed="false">
      <c r="A20" s="38" t="n">
        <f aca="false">ROW()-1</f>
        <v>19</v>
      </c>
      <c r="B20" s="60"/>
      <c r="C20" s="43"/>
    </row>
    <row r="21" customFormat="false" ht="12.8" hidden="false" customHeight="false" outlineLevel="0" collapsed="false">
      <c r="A21" s="38" t="n">
        <f aca="false">ROW()-1</f>
        <v>20</v>
      </c>
      <c r="B21" s="60"/>
      <c r="C21" s="43"/>
    </row>
    <row r="22" customFormat="false" ht="12.8" hidden="false" customHeight="false" outlineLevel="0" collapsed="false">
      <c r="A22" s="38" t="n">
        <f aca="false">ROW()-1</f>
        <v>21</v>
      </c>
      <c r="B22" s="60"/>
      <c r="C22" s="43"/>
    </row>
    <row r="23" customFormat="false" ht="12.8" hidden="false" customHeight="false" outlineLevel="0" collapsed="false">
      <c r="A23" s="38" t="n">
        <f aca="false">ROW()-1</f>
        <v>22</v>
      </c>
      <c r="B23" s="60"/>
      <c r="C23" s="43"/>
    </row>
    <row r="24" customFormat="false" ht="12.8" hidden="false" customHeight="false" outlineLevel="0" collapsed="false">
      <c r="A24" s="38" t="n">
        <f aca="false">ROW()-1</f>
        <v>23</v>
      </c>
      <c r="B24" s="60"/>
      <c r="C24" s="43"/>
    </row>
    <row r="25" customFormat="false" ht="12.8" hidden="false" customHeight="false" outlineLevel="0" collapsed="false">
      <c r="A25" s="38" t="n">
        <f aca="false">ROW()-1</f>
        <v>24</v>
      </c>
      <c r="B25" s="60"/>
      <c r="C25" s="43"/>
    </row>
    <row r="26" customFormat="false" ht="12.8" hidden="false" customHeight="false" outlineLevel="0" collapsed="false">
      <c r="A26" s="38" t="n">
        <f aca="false">ROW()-1</f>
        <v>25</v>
      </c>
      <c r="B26" s="60"/>
      <c r="C26" s="43"/>
    </row>
    <row r="27" customFormat="false" ht="12.8" hidden="false" customHeight="false" outlineLevel="0" collapsed="false">
      <c r="A27" s="38" t="n">
        <f aca="false">ROW()-1</f>
        <v>26</v>
      </c>
      <c r="B27" s="60"/>
      <c r="C27" s="43"/>
    </row>
    <row r="28" customFormat="false" ht="12.8" hidden="false" customHeight="false" outlineLevel="0" collapsed="false">
      <c r="A28" s="38" t="n">
        <f aca="false">ROW()-1</f>
        <v>27</v>
      </c>
      <c r="B28" s="60"/>
      <c r="C28" s="43"/>
    </row>
    <row r="29" customFormat="false" ht="12.8" hidden="false" customHeight="false" outlineLevel="0" collapsed="false">
      <c r="A29" s="42"/>
      <c r="B29" s="60"/>
      <c r="C29" s="43"/>
    </row>
    <row r="30" customFormat="false" ht="12.8" hidden="false" customHeight="false" outlineLevel="0" collapsed="false">
      <c r="A30" s="42"/>
      <c r="B30" s="60"/>
      <c r="C30" s="43"/>
    </row>
    <row r="31" customFormat="false" ht="12.8" hidden="false" customHeight="false" outlineLevel="0" collapsed="false">
      <c r="A31" s="42"/>
      <c r="B31" s="60"/>
      <c r="C31" s="43"/>
    </row>
    <row r="32" customFormat="false" ht="12.8" hidden="false" customHeight="false" outlineLevel="0" collapsed="false">
      <c r="A32" s="42"/>
      <c r="B32" s="60"/>
      <c r="C32" s="43"/>
    </row>
    <row r="33" customFormat="false" ht="12.8" hidden="false" customHeight="false" outlineLevel="0" collapsed="false">
      <c r="A33" s="42"/>
      <c r="B33" s="60"/>
      <c r="C33" s="43"/>
    </row>
    <row r="34" customFormat="false" ht="12.8" hidden="false" customHeight="false" outlineLevel="0" collapsed="false">
      <c r="A34" s="42"/>
      <c r="B34" s="60"/>
      <c r="C34" s="43"/>
    </row>
    <row r="35" customFormat="false" ht="12.8" hidden="false" customHeight="false" outlineLevel="0" collapsed="false">
      <c r="A35" s="42"/>
      <c r="B35" s="60"/>
      <c r="C35" s="43"/>
    </row>
    <row r="36" customFormat="false" ht="12.8" hidden="false" customHeight="false" outlineLevel="0" collapsed="false">
      <c r="A36" s="42"/>
      <c r="B36" s="60"/>
      <c r="C36" s="43"/>
    </row>
    <row r="37" customFormat="false" ht="12.8" hidden="false" customHeight="false" outlineLevel="0" collapsed="false">
      <c r="A37" s="42"/>
      <c r="B37" s="60"/>
      <c r="C37" s="43"/>
    </row>
    <row r="38" customFormat="false" ht="12.8" hidden="false" customHeight="false" outlineLevel="0" collapsed="false">
      <c r="A38" s="42"/>
      <c r="B38" s="60"/>
      <c r="C38" s="43"/>
    </row>
    <row r="39" customFormat="false" ht="12.8" hidden="false" customHeight="false" outlineLevel="0" collapsed="false">
      <c r="A39" s="42"/>
      <c r="B39" s="60"/>
      <c r="C39" s="43"/>
    </row>
    <row r="40" customFormat="false" ht="12.8" hidden="false" customHeight="false" outlineLevel="0" collapsed="false">
      <c r="A40" s="42"/>
      <c r="B40" s="60"/>
      <c r="C40" s="43"/>
    </row>
    <row r="41" customFormat="false" ht="12.8" hidden="false" customHeight="false" outlineLevel="0" collapsed="false">
      <c r="A41" s="42"/>
      <c r="B41" s="60"/>
      <c r="C41" s="43"/>
    </row>
    <row r="42" customFormat="false" ht="12.8" hidden="false" customHeight="false" outlineLevel="0" collapsed="false">
      <c r="A42" s="42"/>
      <c r="B42" s="60"/>
      <c r="C42" s="43"/>
    </row>
    <row r="43" customFormat="false" ht="12.8" hidden="false" customHeight="false" outlineLevel="0" collapsed="false">
      <c r="A43" s="42"/>
      <c r="B43" s="60"/>
      <c r="C43" s="43"/>
    </row>
    <row r="44" customFormat="false" ht="12.8" hidden="false" customHeight="false" outlineLevel="0" collapsed="false">
      <c r="A44" s="42"/>
      <c r="B44" s="60"/>
      <c r="C44" s="43"/>
    </row>
  </sheetData>
  <hyperlinks>
    <hyperlink ref="B2" r:id="rId1" display="flatten-a-multilevel-doubly-linked-list"/>
    <hyperlink ref="B3" r:id="rId2" display="palindrome-linked-list"/>
    <hyperlink ref="B4" r:id="rId3" display="merge-two-sorted-lists"/>
    <hyperlink ref="B5" r:id="rId4" display="copy-list-with-random-pointer"/>
    <hyperlink ref="B6" r:id="rId5" display="pascals-triangle"/>
    <hyperlink ref="B7" r:id="rId6" display="find-the-index-of-the-first-occurrence-in-a-string"/>
    <hyperlink ref="B8" r:id="rId7" display="find-the-index-of-the-first-occurrence-in-a-string"/>
    <hyperlink ref="B9" r:id="rId8" display="longest-common-prefix"/>
    <hyperlink ref="B10" r:id="rId9" display="valid-sudoku"/>
    <hyperlink ref="B11" r:id="rId10" display="find-duplicate-subtrees"/>
    <hyperlink ref="B12" r:id="rId11" display="4sum-ii"/>
    <hyperlink ref="B13" r:id="rId12" display="top-k-frequent-element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53515625" defaultRowHeight="12.8" zeroHeight="false" outlineLevelRow="0" outlineLevelCol="0"/>
  <sheetData>
    <row r="3" customFormat="false" ht="12.8" hidden="false" customHeight="false" outlineLevel="0" collapsed="false">
      <c r="A3" s="82" t="s">
        <v>964</v>
      </c>
    </row>
    <row r="4" customFormat="false" ht="12.8" hidden="false" customHeight="false" outlineLevel="0" collapsed="false">
      <c r="A4" s="8" t="s">
        <v>965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9462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2025-01-02T15:22:48Z</dcterms:created>
  <dc:creator/>
  <dc:description/>
  <dc:language>en-IN</dc:language>
  <cp:lastModifiedBy/>
  <dcterms:modified xsi:type="dcterms:W3CDTF">2025-08-15T12:32:03Z</dcterms:modified>
  <cp:revision>462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